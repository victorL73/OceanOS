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Grille tarifaire particulier" sheetId="1" r:id="rId1"/>
    <sheet name="Grille tarifaire import chine" sheetId="2" r:id="rId2"/>
    <sheet name="Catalogue import Chine" sheetId="3" r:id="rId3"/>
    <sheet name="Catalogue achat franc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workbookViewId="0" rightToLeft="0"/>
  </sheetViews>
  <sheetData>
    <row r="1">
      <c r="A1" t="str">
        <v>Poid (g)</v>
      </c>
      <c r="B1" t="str">
        <v>Prix d'achat(€)</v>
      </c>
      <c r="C1" t="str">
        <v>Prix de vente HT(€)</v>
      </c>
      <c r="D1" t="str">
        <v>Prix de vente TTC(€)</v>
      </c>
    </row>
    <row r="2">
      <c r="A2">
        <v>0</v>
      </c>
      <c r="B2">
        <f>1500/500*(A2*0.001)</f>
        <v>0</v>
      </c>
      <c r="C2">
        <f>B2*8</f>
        <v>0</v>
      </c>
      <c r="D2">
        <f>C2+C2*0.2</f>
        <v>0</v>
      </c>
    </row>
    <row r="3">
      <c r="A3">
        <v>25</v>
      </c>
      <c r="B3">
        <f>1500/500*(A3*0.001)</f>
        <v>0.07500000000000001</v>
      </c>
      <c r="C3">
        <f>B3*8</f>
        <v>0.6000000000000001</v>
      </c>
      <c r="D3">
        <f>C3+C3*0.2</f>
        <v>0.7200000000000001</v>
      </c>
    </row>
    <row r="4">
      <c r="A4">
        <v>50</v>
      </c>
      <c r="B4">
        <f>1500/500*(A4*0.001)</f>
        <v>0.15000000000000002</v>
      </c>
      <c r="C4">
        <f>B4*8</f>
        <v>1.2000000000000002</v>
      </c>
      <c r="D4">
        <f>C4+C4*0.2</f>
        <v>1.4400000000000002</v>
      </c>
    </row>
    <row r="5">
      <c r="A5">
        <v>75</v>
      </c>
      <c r="B5">
        <f>1500/500*(A5*0.001)</f>
        <v>0.22499999999999998</v>
      </c>
      <c r="C5">
        <f>B5*8</f>
        <v>1.7999999999999998</v>
      </c>
      <c r="D5">
        <f>C5+C5*0.2</f>
        <v>2.1599999999999997</v>
      </c>
    </row>
    <row r="6">
      <c r="A6">
        <v>100</v>
      </c>
      <c r="B6">
        <f>1500/500*(A6*0.001)</f>
        <v>0.30000000000000004</v>
      </c>
      <c r="C6">
        <f>B6*8</f>
        <v>2.4000000000000004</v>
      </c>
      <c r="D6">
        <f>C6+C6*0.2</f>
        <v>2.8800000000000003</v>
      </c>
    </row>
    <row r="7">
      <c r="A7">
        <v>200</v>
      </c>
      <c r="B7">
        <f>1500/500*(A7*0.001)</f>
        <v>0.6000000000000001</v>
      </c>
      <c r="C7">
        <f>B7*8</f>
        <v>4.800000000000001</v>
      </c>
      <c r="D7">
        <f>C7+C7*0.2</f>
        <v>5.760000000000001</v>
      </c>
    </row>
    <row r="8">
      <c r="A8">
        <v>300</v>
      </c>
      <c r="B8">
        <f>1500/500*(A8*0.001)</f>
        <v>0.8999999999999999</v>
      </c>
      <c r="C8">
        <f>B8*8</f>
        <v>7.199999999999999</v>
      </c>
      <c r="D8">
        <f>C8+C8*0.2</f>
        <v>8.639999999999999</v>
      </c>
    </row>
    <row r="9">
      <c r="A9">
        <v>400</v>
      </c>
      <c r="B9">
        <f>1500/500*(A9*0.001)</f>
        <v>1.2000000000000002</v>
      </c>
      <c r="C9">
        <f>B9*8</f>
        <v>9.600000000000001</v>
      </c>
      <c r="D9">
        <f>C9+C9*0.2</f>
        <v>11.520000000000001</v>
      </c>
    </row>
    <row r="10">
      <c r="A10">
        <v>500</v>
      </c>
      <c r="B10">
        <f>1500/500*(A10*0.001)</f>
        <v>1.5</v>
      </c>
      <c r="C10">
        <f>B10*8</f>
        <v>12</v>
      </c>
      <c r="D10">
        <f>C10+C10*0.2</f>
        <v>14.4</v>
      </c>
    </row>
    <row r="11">
      <c r="A11">
        <v>600</v>
      </c>
      <c r="B11">
        <f>1500/500*(A11*0.001)</f>
        <v>1.7999999999999998</v>
      </c>
      <c r="C11">
        <f>B11*8</f>
        <v>14.399999999999999</v>
      </c>
      <c r="D11">
        <f>C11+C11*0.2</f>
        <v>17.279999999999998</v>
      </c>
    </row>
    <row r="12">
      <c r="A12">
        <v>700</v>
      </c>
      <c r="B12">
        <f>1500/500*(A12*0.001)</f>
        <v>2.1</v>
      </c>
      <c r="C12">
        <f>B12*8</f>
        <v>16.8</v>
      </c>
      <c r="D12">
        <f>C12+C12*0.2</f>
        <v>20.16</v>
      </c>
    </row>
    <row r="13">
      <c r="A13">
        <v>800</v>
      </c>
      <c r="B13">
        <f>1500/500*(A13*0.001)</f>
        <v>2.4000000000000004</v>
      </c>
      <c r="C13">
        <f>B13*8</f>
        <v>19.200000000000003</v>
      </c>
      <c r="D13">
        <f>C13+C13*0.2</f>
        <v>23.040000000000003</v>
      </c>
    </row>
    <row r="14">
      <c r="A14">
        <v>900</v>
      </c>
      <c r="B14">
        <f>1500/500*(A14*0.001)</f>
        <v>2.7</v>
      </c>
      <c r="C14">
        <f>B14*8</f>
        <v>21.6</v>
      </c>
      <c r="D14">
        <f>C14+C14*0.2</f>
        <v>25.92</v>
      </c>
    </row>
    <row r="15">
      <c r="A15">
        <v>1000</v>
      </c>
      <c r="B15">
        <f>1500/500*(A15*0.001)</f>
        <v>3</v>
      </c>
      <c r="C15">
        <f>B15*8</f>
        <v>24</v>
      </c>
      <c r="D15">
        <f>C15+C15*0.2</f>
        <v>28.8</v>
      </c>
    </row>
    <row r="16">
      <c r="A16">
        <v>1250</v>
      </c>
      <c r="B16">
        <f>1500/500*(A16*0.001)</f>
        <v>3.75</v>
      </c>
      <c r="C16">
        <f>B16*8</f>
        <v>30</v>
      </c>
      <c r="D16">
        <f>C16+C16*0.2</f>
        <v>36</v>
      </c>
    </row>
    <row r="17">
      <c r="A17">
        <v>1500</v>
      </c>
      <c r="B17">
        <f>1500/500*(A17*0.001)</f>
        <v>4.5</v>
      </c>
      <c r="C17">
        <f>B17*8</f>
        <v>36</v>
      </c>
      <c r="D17">
        <f>C17+C17*0.2</f>
        <v>43.2</v>
      </c>
    </row>
    <row r="18">
      <c r="A18">
        <v>1750</v>
      </c>
      <c r="B18">
        <f>1500/500*(A18*0.001)</f>
        <v>5.25</v>
      </c>
      <c r="C18">
        <f>B18*8</f>
        <v>42</v>
      </c>
      <c r="D18">
        <f>C18+C18*0.2</f>
        <v>50.4</v>
      </c>
    </row>
    <row r="19">
      <c r="A19">
        <v>2000</v>
      </c>
      <c r="B19">
        <f>1500/500*(A19*0.001)</f>
        <v>6</v>
      </c>
      <c r="C19">
        <f>B19*8</f>
        <v>48</v>
      </c>
      <c r="D19">
        <f>C19+C19*0.2</f>
        <v>57.6</v>
      </c>
    </row>
    <row r="20">
      <c r="A20">
        <v>2250</v>
      </c>
      <c r="B20">
        <f>1500/500*(A20*0.001)</f>
        <v>6.75</v>
      </c>
      <c r="C20">
        <f>B20*8</f>
        <v>54</v>
      </c>
      <c r="D20">
        <f>C20+C20*0.2</f>
        <v>64.8</v>
      </c>
    </row>
    <row r="21">
      <c r="A21">
        <v>2500</v>
      </c>
      <c r="B21">
        <f>1500/500*(A21*0.001)</f>
        <v>7.5</v>
      </c>
      <c r="C21">
        <f>B21*8</f>
        <v>60</v>
      </c>
      <c r="D21">
        <f>C21+C21*0.2</f>
        <v>72</v>
      </c>
    </row>
    <row r="22">
      <c r="A22">
        <v>2750</v>
      </c>
      <c r="B22">
        <f>1500/500*(A22*0.001)</f>
        <v>8.25</v>
      </c>
      <c r="C22">
        <f>B22*8</f>
        <v>66</v>
      </c>
      <c r="D22">
        <f>C22+C22*0.2</f>
        <v>79.2</v>
      </c>
    </row>
    <row r="23">
      <c r="A23">
        <v>3000</v>
      </c>
      <c r="B23">
        <f>1500/500*(A23*0.001)</f>
        <v>9</v>
      </c>
      <c r="C23">
        <f>B23*8</f>
        <v>72</v>
      </c>
      <c r="D23">
        <f>C23+C23*0.2</f>
        <v>86.4</v>
      </c>
    </row>
    <row r="24">
      <c r="A24">
        <v>3250</v>
      </c>
      <c r="B24">
        <f>1500/500*(A24*0.001)</f>
        <v>9.75</v>
      </c>
      <c r="C24">
        <f>B24*8</f>
        <v>78</v>
      </c>
      <c r="D24">
        <f>C24+C24*0.2</f>
        <v>93.6</v>
      </c>
    </row>
    <row r="25">
      <c r="A25">
        <v>3500</v>
      </c>
      <c r="B25">
        <f>1500/500*(A25*0.001)</f>
        <v>10.5</v>
      </c>
      <c r="C25">
        <f>B25*8</f>
        <v>84</v>
      </c>
      <c r="D25">
        <f>C25+C25*0.2</f>
        <v>100.8</v>
      </c>
    </row>
    <row r="26">
      <c r="A26">
        <v>3750</v>
      </c>
      <c r="B26">
        <f>1500/500*(A26*0.001)</f>
        <v>11.25</v>
      </c>
      <c r="C26">
        <f>B26*8</f>
        <v>90</v>
      </c>
      <c r="D26">
        <f>C26+C26*0.2</f>
        <v>108</v>
      </c>
    </row>
    <row r="27">
      <c r="A27">
        <v>4000</v>
      </c>
      <c r="B27">
        <f>1500/500*(A27*0.001)</f>
        <v>12</v>
      </c>
      <c r="C27">
        <f>B27*8</f>
        <v>96</v>
      </c>
      <c r="D27">
        <f>C27+C27*0.2</f>
        <v>115.2</v>
      </c>
    </row>
    <row r="28">
      <c r="A28">
        <v>4250</v>
      </c>
      <c r="B28">
        <f>1500/500*(A28*0.001)</f>
        <v>12.75</v>
      </c>
      <c r="C28">
        <f>B28*8</f>
        <v>102</v>
      </c>
      <c r="D28">
        <f>C28+C28*0.2</f>
        <v>122.4</v>
      </c>
    </row>
    <row r="29">
      <c r="A29">
        <v>4500</v>
      </c>
      <c r="B29">
        <f>1500/500*(A29*0.001)</f>
        <v>13.5</v>
      </c>
      <c r="C29">
        <f>B29*8</f>
        <v>108</v>
      </c>
      <c r="D29">
        <f>C29+C29*0.2</f>
        <v>129.6</v>
      </c>
    </row>
    <row r="30">
      <c r="A30">
        <v>4750</v>
      </c>
      <c r="B30">
        <f>1500/500*(A30*0.001)</f>
        <v>14.25</v>
      </c>
      <c r="C30">
        <f>B30*8</f>
        <v>114</v>
      </c>
      <c r="D30">
        <f>C30+C30*0.2</f>
        <v>136.8</v>
      </c>
    </row>
    <row r="31">
      <c r="A31">
        <v>5000</v>
      </c>
      <c r="B31">
        <f>1500/500*(A31*0.001)</f>
        <v>15</v>
      </c>
      <c r="C31">
        <f>B31*8</f>
        <v>120</v>
      </c>
      <c r="D31">
        <f>C31+C31*0.2</f>
        <v>144</v>
      </c>
    </row>
    <row r="32">
      <c r="A32">
        <v>5250</v>
      </c>
      <c r="B32">
        <f>1500/500*(A32*0.001)</f>
        <v>15.75</v>
      </c>
      <c r="C32">
        <f>B32*8</f>
        <v>126</v>
      </c>
      <c r="D32">
        <f>C32+C32*0.2</f>
        <v>151.2</v>
      </c>
    </row>
    <row r="33">
      <c r="A33">
        <v>5500</v>
      </c>
      <c r="B33">
        <f>1500/500*(A33*0.001)</f>
        <v>16.5</v>
      </c>
      <c r="C33">
        <f>B33*8</f>
        <v>132</v>
      </c>
      <c r="D33">
        <f>C33+C33*0.2</f>
        <v>158.4</v>
      </c>
    </row>
    <row r="34">
      <c r="A34">
        <v>5750</v>
      </c>
      <c r="B34">
        <f>1500/500*(A34*0.001)</f>
        <v>17.25</v>
      </c>
      <c r="C34">
        <f>B34*8</f>
        <v>138</v>
      </c>
      <c r="D34">
        <f>C34+C34*0.2</f>
        <v>165.6</v>
      </c>
    </row>
    <row r="35">
      <c r="A35">
        <v>6000</v>
      </c>
      <c r="B35">
        <f>1500/500*(A35*0.001)</f>
        <v>18</v>
      </c>
      <c r="C35">
        <f>B35*8</f>
        <v>144</v>
      </c>
      <c r="D35">
        <f>C35+C35*0.2</f>
        <v>172.8</v>
      </c>
    </row>
    <row r="36">
      <c r="A36">
        <v>6250</v>
      </c>
      <c r="B36">
        <f>1500/500*(A36*0.001)</f>
        <v>18.75</v>
      </c>
      <c r="C36">
        <f>B36*8</f>
        <v>150</v>
      </c>
      <c r="D36">
        <f>C36+C36*0.2</f>
        <v>180</v>
      </c>
    </row>
    <row r="37">
      <c r="A37">
        <v>6500</v>
      </c>
      <c r="B37">
        <f>1500/500*(A37*0.001)</f>
        <v>19.5</v>
      </c>
      <c r="C37">
        <f>B37*8</f>
        <v>156</v>
      </c>
      <c r="D37">
        <f>C37+C37*0.2</f>
        <v>187.2</v>
      </c>
    </row>
    <row r="38">
      <c r="A38">
        <v>6750</v>
      </c>
      <c r="B38">
        <f>1500/500*(A38*0.001)</f>
        <v>20.25</v>
      </c>
      <c r="C38">
        <f>B38*8</f>
        <v>162</v>
      </c>
      <c r="D38">
        <f>C38+C38*0.2</f>
        <v>194.4</v>
      </c>
    </row>
    <row r="39">
      <c r="A39">
        <v>7000</v>
      </c>
      <c r="B39">
        <f>1500/500*(A39*0.001)</f>
        <v>21</v>
      </c>
      <c r="C39">
        <f>B39*8</f>
        <v>168</v>
      </c>
      <c r="D39">
        <f>C39+C39*0.2</f>
        <v>201.6</v>
      </c>
    </row>
    <row r="40">
      <c r="A40">
        <v>7250</v>
      </c>
      <c r="B40">
        <f>1500/500*(A40*0.001)</f>
        <v>21.75</v>
      </c>
      <c r="C40">
        <f>B40*8</f>
        <v>174</v>
      </c>
      <c r="D40">
        <f>C40+C40*0.2</f>
        <v>208.8</v>
      </c>
    </row>
    <row r="41">
      <c r="A41">
        <v>7500</v>
      </c>
      <c r="B41">
        <f>1500/500*(A41*0.001)</f>
        <v>22.5</v>
      </c>
      <c r="C41">
        <f>B41*8</f>
        <v>180</v>
      </c>
      <c r="D41">
        <f>C41+C41*0.2</f>
        <v>216</v>
      </c>
    </row>
    <row r="42">
      <c r="A42">
        <v>7750</v>
      </c>
      <c r="B42">
        <f>1500/500*(A42*0.001)</f>
        <v>23.25</v>
      </c>
      <c r="C42">
        <f>B42*8</f>
        <v>186</v>
      </c>
      <c r="D42">
        <f>C42+C42*0.2</f>
        <v>223.2</v>
      </c>
    </row>
    <row r="43">
      <c r="A43">
        <v>8000</v>
      </c>
      <c r="B43">
        <f>1500/500*(A43*0.001)</f>
        <v>24</v>
      </c>
      <c r="C43">
        <f>B43*8</f>
        <v>192</v>
      </c>
      <c r="D43">
        <f>C43+C43*0.2</f>
        <v>230.4</v>
      </c>
    </row>
    <row r="44">
      <c r="A44">
        <v>8250</v>
      </c>
      <c r="B44">
        <f>1500/500*(A44*0.001)</f>
        <v>24.75</v>
      </c>
      <c r="C44">
        <f>B44*8</f>
        <v>198</v>
      </c>
      <c r="D44">
        <f>C44+C44*0.2</f>
        <v>237.6</v>
      </c>
    </row>
    <row r="45">
      <c r="A45">
        <v>8500</v>
      </c>
      <c r="B45">
        <f>1500/500*(A45*0.001)</f>
        <v>25.5</v>
      </c>
      <c r="C45">
        <f>B45*8</f>
        <v>204</v>
      </c>
      <c r="D45">
        <f>C45+C45*0.2</f>
        <v>244.8</v>
      </c>
    </row>
    <row r="46">
      <c r="A46">
        <v>8750</v>
      </c>
      <c r="B46">
        <f>1500/500*(A46*0.001)</f>
        <v>26.25</v>
      </c>
      <c r="C46">
        <f>B46*8</f>
        <v>210</v>
      </c>
      <c r="D46">
        <f>C46+C46*0.2</f>
        <v>252</v>
      </c>
    </row>
    <row r="47">
      <c r="A47">
        <v>9000</v>
      </c>
      <c r="B47">
        <f>1500/500*(A47*0.001)</f>
        <v>27</v>
      </c>
      <c r="C47">
        <f>B47*8</f>
        <v>216</v>
      </c>
      <c r="D47">
        <f>C47+C47*0.2</f>
        <v>259.2</v>
      </c>
    </row>
    <row r="48">
      <c r="A48">
        <v>9250</v>
      </c>
      <c r="B48">
        <f>1500/500*(A48*0.001)</f>
        <v>27.75</v>
      </c>
      <c r="C48">
        <f>B48*8</f>
        <v>222</v>
      </c>
      <c r="D48">
        <f>C48+C48*0.2</f>
        <v>266.4</v>
      </c>
    </row>
    <row r="49">
      <c r="A49">
        <v>9500</v>
      </c>
      <c r="B49">
        <f>1500/500*(A49*0.001)</f>
        <v>28.5</v>
      </c>
      <c r="C49">
        <f>B49*8</f>
        <v>228</v>
      </c>
      <c r="D49">
        <f>C49+C49*0.2</f>
        <v>273.6</v>
      </c>
    </row>
    <row r="50">
      <c r="A50">
        <v>9750</v>
      </c>
      <c r="B50">
        <f>1500/500*(A50*0.001)</f>
        <v>29.25</v>
      </c>
      <c r="C50">
        <f>B50*8</f>
        <v>234</v>
      </c>
      <c r="D50">
        <f>C50+C50*0.2</f>
        <v>280.8</v>
      </c>
    </row>
    <row r="51">
      <c r="A51">
        <v>10000</v>
      </c>
      <c r="B51">
        <f>1500/500*(A51*0.001)</f>
        <v>30</v>
      </c>
      <c r="C51">
        <f>B51*8</f>
        <v>240</v>
      </c>
      <c r="D51">
        <f>C51+C51*0.2</f>
        <v>288</v>
      </c>
    </row>
    <row r="52">
      <c r="A52">
        <v>10250</v>
      </c>
      <c r="B52">
        <f>1500/500*(A52*0.001)</f>
        <v>30.75</v>
      </c>
      <c r="C52">
        <f>B52*8</f>
        <v>246</v>
      </c>
      <c r="D52">
        <f>C52+C52*0.2</f>
        <v>295.2</v>
      </c>
    </row>
    <row r="53">
      <c r="A53">
        <v>10500</v>
      </c>
      <c r="B53">
        <f>1500/500*(A53*0.001)</f>
        <v>31.5</v>
      </c>
      <c r="C53">
        <f>B53*8</f>
        <v>252</v>
      </c>
      <c r="D53">
        <f>C53+C53*0.2</f>
        <v>302.4</v>
      </c>
    </row>
    <row r="54">
      <c r="A54">
        <v>10750</v>
      </c>
      <c r="B54">
        <f>1500/500*(A54*0.001)</f>
        <v>32.25</v>
      </c>
      <c r="C54">
        <f>B54*8</f>
        <v>258</v>
      </c>
      <c r="D54">
        <f>C54+C54*0.2</f>
        <v>309.6</v>
      </c>
    </row>
    <row r="55">
      <c r="A55">
        <v>11000</v>
      </c>
      <c r="B55">
        <f>1500/500*(A55*0.001)</f>
        <v>33</v>
      </c>
      <c r="C55">
        <f>B55*8</f>
        <v>264</v>
      </c>
      <c r="D55">
        <f>C55+C55*0.2</f>
        <v>316.8</v>
      </c>
    </row>
    <row r="56">
      <c r="A56">
        <v>11250</v>
      </c>
      <c r="B56">
        <f>1500/500*(A56*0.001)</f>
        <v>33.75</v>
      </c>
      <c r="C56">
        <f>B56*8</f>
        <v>270</v>
      </c>
      <c r="D56">
        <f>C56+C56*0.2</f>
        <v>324</v>
      </c>
    </row>
    <row r="57">
      <c r="A57">
        <v>11500</v>
      </c>
      <c r="B57">
        <f>1500/500*(A57*0.001)</f>
        <v>34.5</v>
      </c>
      <c r="C57">
        <f>B57*8</f>
        <v>276</v>
      </c>
      <c r="D57">
        <f>C57+C57*0.2</f>
        <v>331.2</v>
      </c>
    </row>
    <row r="58">
      <c r="A58">
        <v>11750</v>
      </c>
      <c r="B58">
        <f>1500/500*(A58*0.001)</f>
        <v>35.25</v>
      </c>
      <c r="C58">
        <f>B58*8</f>
        <v>282</v>
      </c>
      <c r="D58">
        <f>C58+C58*0.2</f>
        <v>338.4</v>
      </c>
    </row>
    <row r="59">
      <c r="A59">
        <v>12000</v>
      </c>
      <c r="B59">
        <f>1500/500*(A59*0.001)</f>
        <v>36</v>
      </c>
      <c r="C59">
        <f>B59*8</f>
        <v>288</v>
      </c>
      <c r="D59">
        <f>C59+C59*0.2</f>
        <v>345.6</v>
      </c>
    </row>
    <row r="60">
      <c r="A60">
        <v>12250</v>
      </c>
      <c r="B60">
        <f>1500/500*(A60*0.001)</f>
        <v>36.75</v>
      </c>
      <c r="C60">
        <f>B60*8</f>
        <v>294</v>
      </c>
      <c r="D60">
        <f>C60+C60*0.2</f>
        <v>352.8</v>
      </c>
    </row>
    <row r="61">
      <c r="A61">
        <v>12500</v>
      </c>
      <c r="B61">
        <f>1500/500*(A61*0.001)</f>
        <v>37.5</v>
      </c>
      <c r="C61">
        <f>B61*8</f>
        <v>300</v>
      </c>
      <c r="D61">
        <f>C61+C61*0.2</f>
        <v>360</v>
      </c>
    </row>
    <row r="62">
      <c r="A62">
        <v>12750</v>
      </c>
      <c r="B62">
        <f>1500/500*(A62*0.001)</f>
        <v>38.25</v>
      </c>
      <c r="C62">
        <f>B62*8</f>
        <v>306</v>
      </c>
      <c r="D62">
        <f>C62+C62*0.2</f>
        <v>367.2</v>
      </c>
    </row>
    <row r="63">
      <c r="A63">
        <v>13000</v>
      </c>
      <c r="B63">
        <f>1500/500*(A63*0.001)</f>
        <v>39</v>
      </c>
      <c r="C63">
        <f>B63*8</f>
        <v>312</v>
      </c>
      <c r="D63">
        <f>C63+C63*0.2</f>
        <v>374.4</v>
      </c>
    </row>
    <row r="64">
      <c r="A64">
        <v>13250</v>
      </c>
      <c r="B64">
        <f>1500/500*(A64*0.001)</f>
        <v>39.75</v>
      </c>
      <c r="C64">
        <f>B64*8</f>
        <v>318</v>
      </c>
      <c r="D64">
        <f>C64+C64*0.2</f>
        <v>381.6</v>
      </c>
    </row>
    <row r="65">
      <c r="A65">
        <v>13500</v>
      </c>
      <c r="B65">
        <f>1500/500*(A65*0.001)</f>
        <v>40.5</v>
      </c>
      <c r="C65">
        <f>B65*8</f>
        <v>324</v>
      </c>
      <c r="D65">
        <f>C65+C65*0.2</f>
        <v>388.8</v>
      </c>
    </row>
    <row r="66">
      <c r="A66">
        <v>13750</v>
      </c>
      <c r="B66">
        <f>1500/500*(A66*0.001)</f>
        <v>41.25</v>
      </c>
      <c r="C66">
        <f>B66*8</f>
        <v>330</v>
      </c>
      <c r="D66">
        <f>C66+C66*0.2</f>
        <v>396</v>
      </c>
    </row>
    <row r="67">
      <c r="A67">
        <v>14000</v>
      </c>
      <c r="B67">
        <f>1500/500*(A67*0.001)</f>
        <v>42</v>
      </c>
      <c r="C67">
        <f>B67*8</f>
        <v>336</v>
      </c>
      <c r="D67">
        <f>C67+C67*0.2</f>
        <v>403.2</v>
      </c>
    </row>
    <row r="68">
      <c r="A68">
        <v>14250</v>
      </c>
      <c r="B68">
        <f>1500/500*(A68*0.001)</f>
        <v>42.75</v>
      </c>
      <c r="C68">
        <f>B68*8</f>
        <v>342</v>
      </c>
      <c r="D68">
        <f>C68+C68*0.2</f>
        <v>410.4</v>
      </c>
    </row>
    <row r="69">
      <c r="A69">
        <v>14500</v>
      </c>
      <c r="B69">
        <f>1500/500*(A69*0.001)</f>
        <v>43.5</v>
      </c>
      <c r="C69">
        <f>B69*8</f>
        <v>348</v>
      </c>
      <c r="D69">
        <f>C69+C69*0.2</f>
        <v>417.6</v>
      </c>
    </row>
    <row r="70">
      <c r="A70">
        <v>14750</v>
      </c>
      <c r="B70">
        <f>1500/500*(A70*0.001)</f>
        <v>44.25</v>
      </c>
      <c r="C70">
        <f>B70*8</f>
        <v>354</v>
      </c>
      <c r="D70">
        <f>C70+C70*0.2</f>
        <v>424.8</v>
      </c>
    </row>
    <row r="71">
      <c r="A71">
        <v>15000</v>
      </c>
      <c r="B71">
        <f>1500/500*(A71*0.001)</f>
        <v>45</v>
      </c>
      <c r="C71">
        <f>B71*8</f>
        <v>360</v>
      </c>
      <c r="D71">
        <f>C71+C71*0.2</f>
        <v>432</v>
      </c>
    </row>
    <row r="72">
      <c r="A72">
        <v>15250</v>
      </c>
      <c r="B72">
        <f>1500/500*(A72*0.001)</f>
        <v>45.75</v>
      </c>
      <c r="C72">
        <f>B72*8</f>
        <v>366</v>
      </c>
      <c r="D72">
        <f>C72+C72*0.2</f>
        <v>439.2</v>
      </c>
    </row>
    <row r="73">
      <c r="A73">
        <v>15500</v>
      </c>
      <c r="B73">
        <f>1500/500*(A73*0.001)</f>
        <v>46.5</v>
      </c>
      <c r="C73">
        <f>B73*8</f>
        <v>372</v>
      </c>
      <c r="D73">
        <f>C73+C73*0.2</f>
        <v>446.4</v>
      </c>
    </row>
    <row r="74">
      <c r="A74">
        <v>15750</v>
      </c>
      <c r="B74">
        <f>1500/500*(A74*0.001)</f>
        <v>47.25</v>
      </c>
      <c r="C74">
        <f>B74*8</f>
        <v>378</v>
      </c>
      <c r="D74">
        <f>C74+C74*0.2</f>
        <v>453.6</v>
      </c>
    </row>
    <row r="75">
      <c r="A75">
        <v>16000</v>
      </c>
      <c r="B75">
        <f>1500/500*(A75*0.001)</f>
        <v>48</v>
      </c>
      <c r="C75">
        <f>B75*8</f>
        <v>384</v>
      </c>
      <c r="D75">
        <f>C75+C75*0.2</f>
        <v>460.8</v>
      </c>
    </row>
    <row r="76">
      <c r="A76">
        <v>16250</v>
      </c>
      <c r="B76">
        <f>1500/500*(A76*0.001)</f>
        <v>48.75</v>
      </c>
      <c r="C76">
        <f>B76*8</f>
        <v>390</v>
      </c>
      <c r="D76">
        <f>C76+C76*0.2</f>
        <v>468</v>
      </c>
    </row>
    <row r="77">
      <c r="A77">
        <v>16500</v>
      </c>
      <c r="B77">
        <f>1500/500*(A77*0.001)</f>
        <v>49.5</v>
      </c>
      <c r="C77">
        <f>B77*8</f>
        <v>396</v>
      </c>
      <c r="D77">
        <f>C77+C77*0.2</f>
        <v>475.2</v>
      </c>
    </row>
    <row r="78">
      <c r="A78">
        <v>16750</v>
      </c>
      <c r="B78">
        <f>1500/500*(A78*0.001)</f>
        <v>50.25</v>
      </c>
      <c r="C78">
        <f>B78*8</f>
        <v>402</v>
      </c>
      <c r="D78">
        <f>C78+C78*0.2</f>
        <v>482.4</v>
      </c>
    </row>
    <row r="79">
      <c r="A79">
        <v>17000</v>
      </c>
      <c r="B79">
        <f>1500/500*(A79*0.001)</f>
        <v>51</v>
      </c>
      <c r="C79">
        <f>B79*8</f>
        <v>408</v>
      </c>
      <c r="D79">
        <f>C79+C79*0.2</f>
        <v>489.6</v>
      </c>
    </row>
    <row r="80">
      <c r="A80">
        <v>17250</v>
      </c>
      <c r="B80">
        <f>1500/500*(A80*0.001)</f>
        <v>51.75</v>
      </c>
      <c r="C80">
        <f>B80*8</f>
        <v>414</v>
      </c>
      <c r="D80">
        <f>C80+C80*0.2</f>
        <v>496.8</v>
      </c>
    </row>
    <row r="81">
      <c r="A81">
        <v>17500</v>
      </c>
      <c r="B81">
        <f>1500/500*(A81*0.001)</f>
        <v>52.5</v>
      </c>
      <c r="C81">
        <f>B81*8</f>
        <v>420</v>
      </c>
      <c r="D81">
        <f>C81+C81*0.2</f>
        <v>504</v>
      </c>
    </row>
    <row r="82">
      <c r="A82">
        <v>17750</v>
      </c>
      <c r="B82">
        <f>1500/500*(A82*0.001)</f>
        <v>53.25</v>
      </c>
      <c r="C82">
        <f>B82*8</f>
        <v>426</v>
      </c>
      <c r="D82">
        <f>C82+C82*0.2</f>
        <v>511.2</v>
      </c>
    </row>
    <row r="83">
      <c r="A83">
        <v>18000</v>
      </c>
      <c r="B83">
        <f>1500/500*(A83*0.001)</f>
        <v>54</v>
      </c>
      <c r="C83">
        <f>B83*8</f>
        <v>432</v>
      </c>
      <c r="D83">
        <f>C83+C83*0.2</f>
        <v>518.4</v>
      </c>
    </row>
    <row r="84">
      <c r="A84">
        <v>18250</v>
      </c>
      <c r="B84">
        <f>1500/500*(A84*0.001)</f>
        <v>54.75</v>
      </c>
      <c r="C84">
        <f>B84*8</f>
        <v>438</v>
      </c>
      <c r="D84">
        <f>C84+C84*0.2</f>
        <v>525.6</v>
      </c>
    </row>
    <row r="85">
      <c r="A85">
        <v>18500</v>
      </c>
      <c r="B85">
        <f>1500/500*(A85*0.001)</f>
        <v>55.5</v>
      </c>
      <c r="C85">
        <f>B85*8</f>
        <v>444</v>
      </c>
      <c r="D85">
        <f>C85+C85*0.2</f>
        <v>532.8</v>
      </c>
    </row>
    <row r="86">
      <c r="A86">
        <v>18750</v>
      </c>
      <c r="B86">
        <f>1500/500*(A86*0.001)</f>
        <v>56.25</v>
      </c>
      <c r="C86">
        <f>B86*8</f>
        <v>450</v>
      </c>
      <c r="D86">
        <f>C86+C86*0.2</f>
        <v>540</v>
      </c>
    </row>
    <row r="87">
      <c r="A87">
        <v>19000</v>
      </c>
      <c r="B87">
        <f>1500/500*(A87*0.001)</f>
        <v>57</v>
      </c>
      <c r="C87">
        <f>B87*8</f>
        <v>456</v>
      </c>
      <c r="D87">
        <f>C87+C87*0.2</f>
        <v>547.2</v>
      </c>
    </row>
    <row r="88">
      <c r="A88">
        <v>19250</v>
      </c>
      <c r="B88">
        <f>1500/500*(A88*0.001)</f>
        <v>57.75</v>
      </c>
      <c r="C88">
        <f>B88*8</f>
        <v>462</v>
      </c>
      <c r="D88">
        <f>C88+C88*0.2</f>
        <v>554.4</v>
      </c>
    </row>
    <row r="89">
      <c r="A89">
        <v>19500</v>
      </c>
      <c r="B89">
        <f>1500/500*(A89*0.001)</f>
        <v>58.5</v>
      </c>
      <c r="C89">
        <f>B89*8</f>
        <v>468</v>
      </c>
      <c r="D89">
        <f>C89+C89*0.2</f>
        <v>561.6</v>
      </c>
    </row>
    <row r="90">
      <c r="A90">
        <v>19750</v>
      </c>
      <c r="B90">
        <f>1500/500*(A90*0.001)</f>
        <v>59.25</v>
      </c>
      <c r="C90">
        <f>B90*8</f>
        <v>474</v>
      </c>
      <c r="D90">
        <f>C90+C90*0.2</f>
        <v>568.8</v>
      </c>
    </row>
    <row r="91">
      <c r="A91">
        <v>20000</v>
      </c>
      <c r="B91">
        <f>1500/500*(A91*0.001)</f>
        <v>60</v>
      </c>
      <c r="C91">
        <f>B91*8</f>
        <v>480</v>
      </c>
      <c r="D91">
        <f>C91+C91*0.2</f>
        <v>576</v>
      </c>
    </row>
  </sheetData>
  <pageMargins left="0.7" right="0.7" top="0.75" bottom="0.75" header="0.3" footer="0.3"/>
  <ignoredErrors>
    <ignoredError numberStoredAsText="1" sqref="A1:E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32"/>
  <sheetViews>
    <sheetView workbookViewId="0" rightToLeft="0"/>
  </sheetViews>
  <sheetData>
    <row r="1">
      <c r="A1" t="str">
        <v>Poid (g)</v>
      </c>
      <c r="B1" t="str">
        <v>Prix d'achat RenovBoat</v>
      </c>
      <c r="E1" t="str">
        <v>Prix minimum rentable (€)</v>
      </c>
      <c r="F1" t="str">
        <v>Prix Particulier</v>
      </c>
      <c r="I1" t="str">
        <v>Prix Pro</v>
      </c>
    </row>
    <row r="2">
      <c r="B2" t="str">
        <v>Prix d'achat HT (€)</v>
      </c>
      <c r="C2" t="str">
        <v>Prix d'achat TTC (€)</v>
      </c>
      <c r="D2" t="str">
        <v>taxe douane (€)</v>
      </c>
      <c r="F2" t="str">
        <v>Prix de vente HT (€)</v>
      </c>
      <c r="G2" t="str">
        <v>Prix de vente TTC (€)</v>
      </c>
      <c r="H2" t="str">
        <v>Revenue apres Transaction banque (€)</v>
      </c>
      <c r="I2" t="str">
        <v>Prix de vente HT (€)</v>
      </c>
      <c r="J2" t="str">
        <v>Prix de vente TTC (€)</v>
      </c>
    </row>
    <row r="3">
      <c r="A3">
        <v>0</v>
      </c>
      <c r="B3">
        <f>C3/1.2</f>
        <v>0</v>
      </c>
      <c r="C3">
        <f>1500/500*(A3*0.001)</f>
        <v>0</v>
      </c>
      <c r="D3">
        <f>C3*1.05</f>
        <v>0</v>
      </c>
      <c r="E3">
        <f>C3*3</f>
        <v>0</v>
      </c>
      <c r="F3">
        <f>D3*8</f>
        <v>0</v>
      </c>
      <c r="G3">
        <f>F3*1.2</f>
        <v>0</v>
      </c>
      <c r="H3">
        <f>G3/1.0175</f>
        <v>0</v>
      </c>
      <c r="I3">
        <f>D3*4</f>
        <v>0</v>
      </c>
      <c r="J3">
        <f>I3*1.2</f>
        <v>0</v>
      </c>
    </row>
    <row r="4">
      <c r="A4">
        <v>25</v>
      </c>
      <c r="B4">
        <f>C4/1.2</f>
        <v>0.06250000000000001</v>
      </c>
      <c r="C4">
        <f>1500/500*(A4*0.001)</f>
        <v>0.07500000000000001</v>
      </c>
      <c r="D4">
        <f>C4*1.05</f>
        <v>0.07875000000000001</v>
      </c>
      <c r="E4">
        <f>C4*3</f>
        <v>0.22500000000000003</v>
      </c>
      <c r="F4">
        <f>D4*8</f>
        <v>0.6300000000000001</v>
      </c>
      <c r="G4">
        <f>F4*1.2</f>
        <v>0.7560000000000001</v>
      </c>
      <c r="H4">
        <f>G4/1.012-0.2</f>
        <v>0.5470355731225298</v>
      </c>
      <c r="I4">
        <f>D4*4</f>
        <v>0.31500000000000006</v>
      </c>
      <c r="J4">
        <f>I4*1.2</f>
        <v>0.37800000000000006</v>
      </c>
    </row>
    <row r="5">
      <c r="A5">
        <v>50</v>
      </c>
      <c r="B5">
        <f>C5/1.2</f>
        <v>0.12500000000000003</v>
      </c>
      <c r="C5">
        <f>1500/500*(A5*0.001)</f>
        <v>0.15000000000000002</v>
      </c>
      <c r="D5">
        <f>C5*1.05</f>
        <v>0.15750000000000003</v>
      </c>
      <c r="E5">
        <f>C5*3</f>
        <v>0.45000000000000007</v>
      </c>
      <c r="F5">
        <f>D5*8</f>
        <v>1.2600000000000002</v>
      </c>
      <c r="G5">
        <v>1.512</v>
      </c>
      <c r="H5">
        <f>G5/1.012-0.2</f>
        <v>1.2940711462450596</v>
      </c>
      <c r="I5">
        <f>D5*4</f>
        <v>0.6300000000000001</v>
      </c>
      <c r="J5">
        <f>I5*1.2</f>
        <v>0.7560000000000001</v>
      </c>
    </row>
    <row r="6">
      <c r="A6">
        <v>75</v>
      </c>
      <c r="B6">
        <f>C6/1.2</f>
        <v>0.1875</v>
      </c>
      <c r="C6">
        <f>1500/500*(A6*0.001)</f>
        <v>0.22499999999999998</v>
      </c>
      <c r="D6">
        <f>C6*1.05</f>
        <v>0.23625</v>
      </c>
      <c r="E6">
        <f>C6*3</f>
        <v>0.6749999999999999</v>
      </c>
      <c r="F6">
        <f>D6*8</f>
        <v>1.89</v>
      </c>
      <c r="G6">
        <f>F6*1.2</f>
        <v>2.268</v>
      </c>
      <c r="H6">
        <f>G6/1.012-0.2</f>
        <v>2.0411067193675887</v>
      </c>
      <c r="I6">
        <f>D6*4</f>
        <v>0.945</v>
      </c>
      <c r="J6">
        <f>I6*1.2</f>
        <v>1.134</v>
      </c>
    </row>
    <row r="7">
      <c r="A7">
        <v>100</v>
      </c>
      <c r="B7">
        <f>C7/1.2</f>
        <v>0.25000000000000006</v>
      </c>
      <c r="C7">
        <f>1500/500*(A7*0.001)</f>
        <v>0.30000000000000004</v>
      </c>
      <c r="D7">
        <f>C7*1.05</f>
        <v>0.31500000000000006</v>
      </c>
      <c r="E7">
        <f>C7*3</f>
        <v>0.9000000000000001</v>
      </c>
      <c r="F7">
        <f>D7*8</f>
        <v>2.5200000000000005</v>
      </c>
      <c r="G7">
        <f>F7*1.2</f>
        <v>3.0240000000000005</v>
      </c>
      <c r="H7">
        <f>G7/1.012-0.2</f>
        <v>2.788142292490119</v>
      </c>
      <c r="I7">
        <f>D7*4</f>
        <v>1.2600000000000002</v>
      </c>
      <c r="J7">
        <f>I7*1.2</f>
        <v>1.5120000000000002</v>
      </c>
    </row>
    <row r="8">
      <c r="A8">
        <v>200</v>
      </c>
      <c r="B8">
        <f>C8/1.2</f>
        <v>0.5000000000000001</v>
      </c>
      <c r="C8">
        <f>1500/500*(A8*0.001)</f>
        <v>0.6000000000000001</v>
      </c>
      <c r="D8">
        <f>C8*1.05</f>
        <v>0.6300000000000001</v>
      </c>
      <c r="E8">
        <f>C8*3</f>
        <v>1.8000000000000003</v>
      </c>
      <c r="F8">
        <f>D8*8</f>
        <v>5.040000000000001</v>
      </c>
      <c r="G8">
        <f>F8*1.2</f>
        <v>6.048000000000001</v>
      </c>
      <c r="H8">
        <f>G8/1.012-0.2</f>
        <v>5.776284584980238</v>
      </c>
      <c r="I8">
        <f>D8*4</f>
        <v>2.5200000000000005</v>
      </c>
      <c r="J8">
        <f>I8*1.2</f>
        <v>3.0240000000000005</v>
      </c>
    </row>
    <row r="9">
      <c r="A9">
        <v>300</v>
      </c>
      <c r="B9">
        <f>C9/1.2</f>
        <v>0.75</v>
      </c>
      <c r="C9">
        <f>1500/500*(A9*0.001)</f>
        <v>0.8999999999999999</v>
      </c>
      <c r="D9">
        <f>C9*1.05</f>
        <v>0.945</v>
      </c>
      <c r="E9">
        <f>C9*3</f>
        <v>2.6999999999999997</v>
      </c>
      <c r="F9">
        <f>D9*8</f>
        <v>7.56</v>
      </c>
      <c r="G9">
        <f>F9*1.2</f>
        <v>9.072</v>
      </c>
      <c r="H9">
        <f>G9/1.012-0.2</f>
        <v>8.764426877470356</v>
      </c>
      <c r="I9">
        <f>D9*4</f>
        <v>3.78</v>
      </c>
      <c r="J9">
        <f>I9*1.2</f>
        <v>4.536</v>
      </c>
    </row>
    <row r="10">
      <c r="A10">
        <v>400</v>
      </c>
      <c r="B10">
        <f>C10/1.2</f>
        <v>1.0000000000000002</v>
      </c>
      <c r="C10">
        <f>1500/500*(A10*0.001)</f>
        <v>1.2000000000000002</v>
      </c>
      <c r="D10">
        <f>C10*1.05</f>
        <v>1.2600000000000002</v>
      </c>
      <c r="E10">
        <f>C10*3</f>
        <v>3.6000000000000005</v>
      </c>
      <c r="F10">
        <f>D10*8</f>
        <v>10.080000000000002</v>
      </c>
      <c r="G10">
        <f>F10*1.2</f>
        <v>12.096000000000002</v>
      </c>
      <c r="H10">
        <f>G10/1.012-0.2</f>
        <v>11.752569169960477</v>
      </c>
      <c r="I10">
        <f>D10*4</f>
        <v>5.040000000000001</v>
      </c>
      <c r="J10">
        <f>I10*1.2</f>
        <v>6.048000000000001</v>
      </c>
    </row>
    <row r="11">
      <c r="A11">
        <v>500</v>
      </c>
      <c r="B11">
        <f>C11/1.2</f>
        <v>1.25</v>
      </c>
      <c r="C11">
        <f>1500/500*(A11*0.001)</f>
        <v>1.5</v>
      </c>
      <c r="D11">
        <f>C11*1.05</f>
        <v>1.5750000000000002</v>
      </c>
      <c r="E11">
        <f>C11*3</f>
        <v>4.5</v>
      </c>
      <c r="F11">
        <f>D11*8</f>
        <v>12.600000000000001</v>
      </c>
      <c r="G11">
        <f>F11*1.2</f>
        <v>15.120000000000001</v>
      </c>
      <c r="H11">
        <f>G11/1.012-0.2</f>
        <v>14.740711462450594</v>
      </c>
      <c r="I11">
        <f>D11*4</f>
        <v>6.300000000000001</v>
      </c>
      <c r="J11">
        <f>I11*1.2</f>
        <v>7.5600000000000005</v>
      </c>
    </row>
    <row r="12">
      <c r="A12">
        <v>600</v>
      </c>
      <c r="B12">
        <f>C12/1.2</f>
        <v>1.5</v>
      </c>
      <c r="C12">
        <f>1500/500*(A12*0.001)</f>
        <v>1.7999999999999998</v>
      </c>
      <c r="D12">
        <f>C12*1.05</f>
        <v>1.89</v>
      </c>
      <c r="E12">
        <f>C12*3</f>
        <v>5.3999999999999995</v>
      </c>
      <c r="F12">
        <f>D12*8</f>
        <v>15.12</v>
      </c>
      <c r="G12">
        <f>F12*1.2</f>
        <v>18.144</v>
      </c>
      <c r="H12">
        <f>G12/1.012-0.2</f>
        <v>17.72885375494071</v>
      </c>
      <c r="I12">
        <f>D12*4</f>
        <v>7.56</v>
      </c>
      <c r="J12">
        <f>I12*1.2</f>
        <v>9.072</v>
      </c>
    </row>
    <row r="13">
      <c r="A13">
        <v>700</v>
      </c>
      <c r="B13">
        <f>C13/1.2</f>
        <v>1.7500000000000002</v>
      </c>
      <c r="C13">
        <f>1500/500*(A13*0.001)</f>
        <v>2.1</v>
      </c>
      <c r="D13">
        <f>C13*1.05</f>
        <v>2.205</v>
      </c>
      <c r="E13">
        <f>C13*3</f>
        <v>6.300000000000001</v>
      </c>
      <c r="F13">
        <f>D13*8</f>
        <v>17.64</v>
      </c>
      <c r="G13">
        <f>F13*1.2</f>
        <v>21.168</v>
      </c>
      <c r="H13">
        <f>G13/1.012-0.2</f>
        <v>20.71699604743083</v>
      </c>
      <c r="I13">
        <f>D13*4</f>
        <v>8.82</v>
      </c>
      <c r="J13">
        <f>I13*1.2</f>
        <v>10.584</v>
      </c>
    </row>
    <row r="14">
      <c r="A14">
        <v>800</v>
      </c>
      <c r="B14">
        <f>C14/1.2</f>
        <v>2.0000000000000004</v>
      </c>
      <c r="C14">
        <f>1500/500*(A14*0.001)</f>
        <v>2.4000000000000004</v>
      </c>
      <c r="D14">
        <f>C14*1.05</f>
        <v>2.5200000000000005</v>
      </c>
      <c r="E14">
        <f>C14*3</f>
        <v>7.200000000000001</v>
      </c>
      <c r="F14">
        <f>D14*8</f>
        <v>20.160000000000004</v>
      </c>
      <c r="G14">
        <f>F14*1.2</f>
        <v>24.192000000000004</v>
      </c>
      <c r="H14">
        <f>G14/1.012-0.2</f>
        <v>23.705138339920953</v>
      </c>
      <c r="I14">
        <f>D14*4</f>
        <v>10.080000000000002</v>
      </c>
      <c r="J14">
        <f>I14*1.2</f>
        <v>12.096000000000002</v>
      </c>
    </row>
    <row r="15">
      <c r="A15">
        <v>900</v>
      </c>
      <c r="B15">
        <f>C15/1.2</f>
        <v>2.2500000000000004</v>
      </c>
      <c r="C15">
        <f>1500/500*(A15*0.001)</f>
        <v>2.7</v>
      </c>
      <c r="D15">
        <f>C15*1.05</f>
        <v>2.8350000000000004</v>
      </c>
      <c r="E15">
        <f>C15*3</f>
        <v>8.100000000000001</v>
      </c>
      <c r="F15">
        <f>D15*8</f>
        <v>22.680000000000003</v>
      </c>
      <c r="G15">
        <f>F15*1.2</f>
        <v>27.216000000000005</v>
      </c>
      <c r="H15">
        <f>G15/1.012-0.2</f>
        <v>26.69328063241107</v>
      </c>
      <c r="I15">
        <f>D15*4</f>
        <v>11.340000000000002</v>
      </c>
      <c r="J15">
        <f>I15*1.2</f>
        <v>13.608000000000002</v>
      </c>
    </row>
    <row r="16">
      <c r="A16">
        <v>1000</v>
      </c>
      <c r="B16">
        <f>C16/1.2</f>
        <v>2.5</v>
      </c>
      <c r="C16">
        <f>1500/500*(A16*0.001)</f>
        <v>3</v>
      </c>
      <c r="D16">
        <f>C16*1.05</f>
        <v>3.1500000000000004</v>
      </c>
      <c r="E16">
        <f>C16*3</f>
        <v>9</v>
      </c>
      <c r="F16">
        <f>D16*8</f>
        <v>25.200000000000003</v>
      </c>
      <c r="G16">
        <f>F16*1.2</f>
        <v>30.240000000000002</v>
      </c>
      <c r="H16">
        <f>G16/1.012-0.2</f>
        <v>29.681422924901188</v>
      </c>
      <c r="I16">
        <f>D16*4</f>
        <v>12.600000000000001</v>
      </c>
      <c r="J16">
        <f>I16*1.2</f>
        <v>15.120000000000001</v>
      </c>
    </row>
    <row r="17">
      <c r="A17">
        <v>1250</v>
      </c>
      <c r="B17">
        <f>C17/1.2</f>
        <v>3.125</v>
      </c>
      <c r="C17">
        <f>1500/500*(A17*0.001)</f>
        <v>3.75</v>
      </c>
      <c r="D17">
        <f>C17*1.05</f>
        <v>3.9375</v>
      </c>
      <c r="E17">
        <f>C17*3</f>
        <v>11.25</v>
      </c>
      <c r="F17">
        <f>D17*8</f>
        <v>31.5</v>
      </c>
      <c r="G17">
        <f>F17*1.2</f>
        <v>37.8</v>
      </c>
      <c r="H17">
        <f>G17/1.012-0.2</f>
        <v>37.151778656126474</v>
      </c>
      <c r="I17">
        <f>D17*4</f>
        <v>15.75</v>
      </c>
      <c r="J17">
        <f>I17*1.2</f>
        <v>18.9</v>
      </c>
    </row>
    <row r="18">
      <c r="A18">
        <v>1500</v>
      </c>
      <c r="B18">
        <f>C18/1.2</f>
        <v>3.75</v>
      </c>
      <c r="C18">
        <f>1500/500*(A18*0.001)</f>
        <v>4.5</v>
      </c>
      <c r="D18">
        <f>C18*1.05</f>
        <v>4.7250000000000005</v>
      </c>
      <c r="E18">
        <f>C18*3</f>
        <v>13.5</v>
      </c>
      <c r="F18">
        <f>D18*8</f>
        <v>37.800000000000004</v>
      </c>
      <c r="G18">
        <f>F18*1.2</f>
        <v>45.36000000000001</v>
      </c>
      <c r="H18">
        <f>G18/1.012-0.2</f>
        <v>44.622134387351785</v>
      </c>
      <c r="I18">
        <f>D18*4</f>
        <v>18.900000000000002</v>
      </c>
      <c r="J18">
        <f>I18*1.2</f>
        <v>22.680000000000003</v>
      </c>
    </row>
    <row r="19">
      <c r="A19">
        <v>1750</v>
      </c>
      <c r="B19">
        <f>C19/1.2</f>
        <v>4.375</v>
      </c>
      <c r="C19">
        <f>1500/500*(A19*0.001)</f>
        <v>5.25</v>
      </c>
      <c r="D19">
        <f>C19*1.05</f>
        <v>5.5125</v>
      </c>
      <c r="E19">
        <f>C19*3</f>
        <v>15.75</v>
      </c>
      <c r="F19">
        <f>D19*8</f>
        <v>44.1</v>
      </c>
      <c r="G19">
        <f>F19*1.2</f>
        <v>52.92</v>
      </c>
      <c r="H19">
        <f>G19/1.012-0.2</f>
        <v>52.092490118577075</v>
      </c>
      <c r="I19">
        <f>D19*4</f>
        <v>22.05</v>
      </c>
      <c r="J19">
        <f>I19*1.2</f>
        <v>26.46</v>
      </c>
    </row>
    <row r="20">
      <c r="A20">
        <v>2000</v>
      </c>
      <c r="B20">
        <f>C20/1.2</f>
        <v>5</v>
      </c>
      <c r="C20">
        <f>1500/500*(A20*0.001)</f>
        <v>6</v>
      </c>
      <c r="D20">
        <f>C20*1.05</f>
        <v>6.300000000000001</v>
      </c>
      <c r="E20">
        <f>C20*3</f>
        <v>18</v>
      </c>
      <c r="F20">
        <f>D20*8</f>
        <v>50.400000000000006</v>
      </c>
      <c r="G20">
        <f>F20*1.2</f>
        <v>60.480000000000004</v>
      </c>
      <c r="H20">
        <f>G20/1.012-0.2</f>
        <v>59.56284584980237</v>
      </c>
      <c r="I20">
        <f>D20*4</f>
        <v>25.200000000000003</v>
      </c>
      <c r="J20">
        <f>I20*1.2</f>
        <v>30.240000000000002</v>
      </c>
    </row>
    <row r="21">
      <c r="A21">
        <v>2250</v>
      </c>
      <c r="B21">
        <f>C21/1.2</f>
        <v>5.625</v>
      </c>
      <c r="C21">
        <f>1500/500*(A21*0.001)</f>
        <v>6.75</v>
      </c>
      <c r="D21">
        <f>C21*1.05</f>
        <v>7.0875</v>
      </c>
      <c r="E21">
        <f>C21*3</f>
        <v>20.25</v>
      </c>
      <c r="F21">
        <f>D21*8</f>
        <v>56.7</v>
      </c>
      <c r="G21">
        <f>F21*1.2</f>
        <v>68.04</v>
      </c>
      <c r="H21">
        <f>G21/1.012-0.2</f>
        <v>67.03320158102767</v>
      </c>
      <c r="I21">
        <f>D21*4</f>
        <v>28.35</v>
      </c>
      <c r="J21">
        <f>I21*1.2</f>
        <v>34.02</v>
      </c>
    </row>
    <row r="22">
      <c r="A22">
        <v>2500</v>
      </c>
      <c r="B22">
        <f>C22/1.2</f>
        <v>6.25</v>
      </c>
      <c r="C22">
        <f>1500/500*(A22*0.001)</f>
        <v>7.5</v>
      </c>
      <c r="D22">
        <f>C22*1.05</f>
        <v>7.875</v>
      </c>
      <c r="E22">
        <f>C22*3</f>
        <v>22.5</v>
      </c>
      <c r="F22">
        <f>D22*8</f>
        <v>63</v>
      </c>
      <c r="G22">
        <f>F22*1.2</f>
        <v>75.6</v>
      </c>
      <c r="H22">
        <f>G22/1.012-0.2</f>
        <v>74.50355731225295</v>
      </c>
      <c r="I22">
        <f>D22*4</f>
        <v>31.5</v>
      </c>
      <c r="J22">
        <f>I22*1.2</f>
        <v>37.8</v>
      </c>
    </row>
    <row r="23">
      <c r="A23">
        <v>2750</v>
      </c>
      <c r="B23">
        <f>C23/1.2</f>
        <v>6.875</v>
      </c>
      <c r="C23">
        <f>1500/500*(A23*0.001)</f>
        <v>8.25</v>
      </c>
      <c r="D23">
        <f>C23*1.05</f>
        <v>8.6625</v>
      </c>
      <c r="E23">
        <f>C23*3</f>
        <v>24.75</v>
      </c>
      <c r="F23">
        <f>D23*8</f>
        <v>69.3</v>
      </c>
      <c r="G23">
        <f>F23*1.2</f>
        <v>83.16</v>
      </c>
      <c r="H23">
        <f>G23/1.012-0.2</f>
        <v>81.97391304347825</v>
      </c>
      <c r="I23">
        <f>D23*4</f>
        <v>34.65</v>
      </c>
      <c r="J23">
        <f>I23*1.2</f>
        <v>41.58</v>
      </c>
    </row>
    <row r="24">
      <c r="A24">
        <v>3000</v>
      </c>
      <c r="B24">
        <f>C24/1.2</f>
        <v>7.5</v>
      </c>
      <c r="C24">
        <f>1500/500*(A24*0.001)</f>
        <v>9</v>
      </c>
      <c r="D24">
        <f>C24*1.05</f>
        <v>9.450000000000001</v>
      </c>
      <c r="E24">
        <f>C24*3</f>
        <v>27</v>
      </c>
      <c r="F24">
        <f>D24*8</f>
        <v>75.60000000000001</v>
      </c>
      <c r="G24">
        <f>F24*1.2</f>
        <v>90.72000000000001</v>
      </c>
      <c r="H24">
        <f>G24/1.012-0.2</f>
        <v>89.44426877470357</v>
      </c>
      <c r="I24">
        <f>D24*4</f>
        <v>37.800000000000004</v>
      </c>
      <c r="J24">
        <f>I24*1.2</f>
        <v>45.36000000000001</v>
      </c>
    </row>
    <row r="25">
      <c r="A25">
        <v>3250</v>
      </c>
      <c r="B25">
        <f>C25/1.2</f>
        <v>8.125</v>
      </c>
      <c r="C25">
        <f>1500/500*(A25*0.001)</f>
        <v>9.75</v>
      </c>
      <c r="D25">
        <f>C25*1.05</f>
        <v>10.2375</v>
      </c>
      <c r="E25">
        <f>C25*3</f>
        <v>29.25</v>
      </c>
      <c r="F25">
        <f>D25*8</f>
        <v>81.9</v>
      </c>
      <c r="G25">
        <f>F25*1.2</f>
        <v>98.28</v>
      </c>
      <c r="H25">
        <f>G25/1.012-0.2</f>
        <v>96.91462450592886</v>
      </c>
      <c r="I25">
        <f>D25*4</f>
        <v>40.95</v>
      </c>
      <c r="J25">
        <f>I25*1.2</f>
        <v>49.14</v>
      </c>
    </row>
    <row r="26">
      <c r="A26">
        <v>3500</v>
      </c>
      <c r="B26">
        <f>C26/1.2</f>
        <v>8.75</v>
      </c>
      <c r="C26">
        <f>1500/500*(A26*0.001)</f>
        <v>10.5</v>
      </c>
      <c r="D26">
        <f>C26*1.05</f>
        <v>11.025</v>
      </c>
      <c r="E26">
        <f>C26*3</f>
        <v>31.5</v>
      </c>
      <c r="F26">
        <f>D26*8</f>
        <v>88.2</v>
      </c>
      <c r="G26">
        <f>F26*1.2</f>
        <v>105.84</v>
      </c>
      <c r="H26">
        <f>G26/1.012-0.2</f>
        <v>104.38498023715415</v>
      </c>
      <c r="I26">
        <f>D26*4</f>
        <v>44.1</v>
      </c>
      <c r="J26">
        <f>I26*1.2</f>
        <v>52.92</v>
      </c>
    </row>
    <row r="27">
      <c r="A27">
        <v>3750</v>
      </c>
      <c r="B27">
        <f>C27/1.2</f>
        <v>9.375</v>
      </c>
      <c r="C27">
        <f>1500/500*(A27*0.001)</f>
        <v>11.25</v>
      </c>
      <c r="D27">
        <f>C27*1.05</f>
        <v>11.8125</v>
      </c>
      <c r="E27">
        <f>C27*3</f>
        <v>33.75</v>
      </c>
      <c r="F27">
        <f>D27*8</f>
        <v>94.5</v>
      </c>
      <c r="G27">
        <f>F27*1.2</f>
        <v>113.39999999999999</v>
      </c>
      <c r="H27">
        <f>G27/1.012-0.2</f>
        <v>111.85533596837944</v>
      </c>
      <c r="I27">
        <f>D27*4</f>
        <v>47.25</v>
      </c>
      <c r="J27">
        <f>I27*1.2</f>
        <v>56.699999999999996</v>
      </c>
    </row>
    <row r="28">
      <c r="A28">
        <v>4000</v>
      </c>
      <c r="B28">
        <f>C28/1.2</f>
        <v>10</v>
      </c>
      <c r="C28">
        <f>1500/500*(A28*0.001)</f>
        <v>12</v>
      </c>
      <c r="D28">
        <f>C28*1.05</f>
        <v>12.600000000000001</v>
      </c>
      <c r="E28">
        <f>C28*3</f>
        <v>36</v>
      </c>
      <c r="F28">
        <f>D28*8</f>
        <v>100.80000000000001</v>
      </c>
      <c r="G28">
        <f>F28*1.2</f>
        <v>120.96000000000001</v>
      </c>
      <c r="H28">
        <f>G28/1.012-0.2</f>
        <v>119.32569169960475</v>
      </c>
      <c r="I28">
        <f>D28*4</f>
        <v>50.400000000000006</v>
      </c>
      <c r="J28">
        <f>I28*1.2</f>
        <v>60.480000000000004</v>
      </c>
    </row>
    <row r="29">
      <c r="A29">
        <v>4250</v>
      </c>
      <c r="B29">
        <f>C29/1.2</f>
        <v>10.625</v>
      </c>
      <c r="C29">
        <f>1500/500*(A29*0.001)</f>
        <v>12.75</v>
      </c>
      <c r="D29">
        <f>C29*1.05</f>
        <v>13.387500000000001</v>
      </c>
      <c r="E29">
        <f>C29*3</f>
        <v>38.25</v>
      </c>
      <c r="F29">
        <f>D29*8</f>
        <v>107.10000000000001</v>
      </c>
      <c r="G29">
        <f>F29*1.2</f>
        <v>128.52</v>
      </c>
      <c r="H29">
        <f>G29/1.012-0.2</f>
        <v>126.79604743083004</v>
      </c>
      <c r="I29">
        <f>D29*4</f>
        <v>53.550000000000004</v>
      </c>
      <c r="J29">
        <f>I29*1.2</f>
        <v>64.26</v>
      </c>
    </row>
    <row r="30">
      <c r="A30">
        <v>4500</v>
      </c>
      <c r="B30">
        <f>C30/1.2</f>
        <v>11.25</v>
      </c>
      <c r="C30">
        <f>1500/500*(A30*0.001)</f>
        <v>13.5</v>
      </c>
      <c r="D30">
        <f>C30*1.05</f>
        <v>14.175</v>
      </c>
      <c r="E30">
        <f>C30*3</f>
        <v>40.5</v>
      </c>
      <c r="F30">
        <f>D30*8</f>
        <v>113.4</v>
      </c>
      <c r="G30">
        <f>F30*1.2</f>
        <v>136.08</v>
      </c>
      <c r="H30">
        <f>G30/1.012-0.2</f>
        <v>134.26640316205535</v>
      </c>
      <c r="I30">
        <f>D30*4</f>
        <v>56.7</v>
      </c>
      <c r="J30">
        <f>I30*1.2</f>
        <v>68.04</v>
      </c>
    </row>
    <row r="31">
      <c r="A31">
        <v>4750</v>
      </c>
      <c r="B31">
        <f>C31/1.2</f>
        <v>11.875</v>
      </c>
      <c r="C31">
        <f>1500/500*(A31*0.001)</f>
        <v>14.25</v>
      </c>
      <c r="D31">
        <f>C31*1.05</f>
        <v>14.9625</v>
      </c>
      <c r="E31">
        <f>C31*3</f>
        <v>42.75</v>
      </c>
      <c r="F31">
        <f>D31*8</f>
        <v>119.7</v>
      </c>
      <c r="G31">
        <f>F31*1.2</f>
        <v>143.64</v>
      </c>
      <c r="H31">
        <f>G31/1.012-0.2</f>
        <v>141.73675889328064</v>
      </c>
      <c r="I31">
        <f>D31*4</f>
        <v>59.85</v>
      </c>
      <c r="J31">
        <f>I31*1.2</f>
        <v>71.82</v>
      </c>
    </row>
    <row r="32">
      <c r="A32">
        <v>5000</v>
      </c>
      <c r="B32">
        <f>C32/1.2</f>
        <v>12.5</v>
      </c>
      <c r="C32">
        <f>1500/500*(A32*0.001)</f>
        <v>15</v>
      </c>
      <c r="D32">
        <f>C32*1.05</f>
        <v>15.75</v>
      </c>
      <c r="E32">
        <f>C32*3</f>
        <v>45</v>
      </c>
      <c r="F32">
        <f>D32*8</f>
        <v>126</v>
      </c>
      <c r="G32">
        <f>F32*1.2</f>
        <v>151.2</v>
      </c>
      <c r="H32">
        <f>G32/1.012-0.2</f>
        <v>149.20711462450592</v>
      </c>
      <c r="I32">
        <f>D32*4</f>
        <v>63</v>
      </c>
      <c r="J32">
        <f>I32*1.2</f>
        <v>75.6</v>
      </c>
    </row>
    <row r="33">
      <c r="A33">
        <v>5250</v>
      </c>
      <c r="B33">
        <f>C33/1.2</f>
        <v>13.125</v>
      </c>
      <c r="C33">
        <f>1500/500*(A33*0.001)</f>
        <v>15.75</v>
      </c>
      <c r="D33">
        <f>C33*1.05</f>
        <v>16.5375</v>
      </c>
      <c r="E33">
        <f>C33*3</f>
        <v>47.25</v>
      </c>
      <c r="F33">
        <f>D33*8</f>
        <v>132.3</v>
      </c>
      <c r="G33">
        <f>F33*1.2</f>
        <v>158.76000000000002</v>
      </c>
      <c r="H33">
        <f>G33/1.012-0.2</f>
        <v>156.67747035573126</v>
      </c>
      <c r="I33">
        <f>D33*4</f>
        <v>66.15</v>
      </c>
      <c r="J33">
        <f>I33*1.2</f>
        <v>79.38000000000001</v>
      </c>
    </row>
    <row r="34">
      <c r="A34">
        <v>5500</v>
      </c>
      <c r="B34">
        <f>C34/1.2</f>
        <v>13.75</v>
      </c>
      <c r="C34">
        <f>1500/500*(A34*0.001)</f>
        <v>16.5</v>
      </c>
      <c r="D34">
        <f>C34*1.05</f>
        <v>17.325</v>
      </c>
      <c r="E34">
        <f>C34*3</f>
        <v>49.5</v>
      </c>
      <c r="F34">
        <f>D34*8</f>
        <v>138.6</v>
      </c>
      <c r="G34">
        <f>F34*1.2</f>
        <v>166.32</v>
      </c>
      <c r="H34">
        <f>G34/1.012-0.2</f>
        <v>164.1478260869565</v>
      </c>
      <c r="I34">
        <f>D34*4</f>
        <v>69.3</v>
      </c>
      <c r="J34">
        <f>I34*1.2</f>
        <v>83.16</v>
      </c>
    </row>
    <row r="35">
      <c r="A35">
        <v>5750</v>
      </c>
      <c r="B35">
        <f>C35/1.2</f>
        <v>14.375</v>
      </c>
      <c r="C35">
        <f>1500/500*(A35*0.001)</f>
        <v>17.25</v>
      </c>
      <c r="D35">
        <f>C35*1.05</f>
        <v>18.1125</v>
      </c>
      <c r="E35">
        <f>C35*3</f>
        <v>51.75</v>
      </c>
      <c r="F35">
        <f>D35*8</f>
        <v>144.9</v>
      </c>
      <c r="G35">
        <f>F35*1.2</f>
        <v>173.88</v>
      </c>
      <c r="H35">
        <f>G35/1.012-0.2</f>
        <v>171.61818181818182</v>
      </c>
      <c r="I35">
        <f>D35*4</f>
        <v>72.45</v>
      </c>
      <c r="J35">
        <f>I35*1.2</f>
        <v>86.94</v>
      </c>
    </row>
    <row r="36">
      <c r="A36">
        <v>6000</v>
      </c>
      <c r="B36">
        <f>C36/1.2</f>
        <v>15</v>
      </c>
      <c r="C36">
        <f>1500/500*(A36*0.001)</f>
        <v>18</v>
      </c>
      <c r="D36">
        <f>C36*1.05</f>
        <v>18.900000000000002</v>
      </c>
      <c r="E36">
        <f>C36*3</f>
        <v>54</v>
      </c>
      <c r="F36">
        <f>D36*8</f>
        <v>151.20000000000002</v>
      </c>
      <c r="G36">
        <f>F36*1.2</f>
        <v>181.44000000000003</v>
      </c>
      <c r="H36">
        <f>G36/1.012-0.2</f>
        <v>179.08853754940716</v>
      </c>
      <c r="I36">
        <f>D36*4</f>
        <v>75.60000000000001</v>
      </c>
      <c r="J36">
        <f>I36*1.2</f>
        <v>90.72000000000001</v>
      </c>
    </row>
    <row r="37">
      <c r="A37">
        <v>6250</v>
      </c>
      <c r="B37">
        <f>C37/1.2</f>
        <v>15.625</v>
      </c>
      <c r="C37">
        <f>1500/500*(A37*0.001)</f>
        <v>18.75</v>
      </c>
      <c r="D37">
        <f>C37*1.05</f>
        <v>19.6875</v>
      </c>
      <c r="E37">
        <f>C37*3</f>
        <v>56.25</v>
      </c>
      <c r="F37">
        <f>D37*8</f>
        <v>157.5</v>
      </c>
      <c r="G37">
        <f>F37*1.2</f>
        <v>189</v>
      </c>
      <c r="H37">
        <f>G37/1.012-0.2</f>
        <v>186.55889328063242</v>
      </c>
      <c r="I37">
        <f>D37*4</f>
        <v>78.75</v>
      </c>
      <c r="J37">
        <f>I37*1.2</f>
        <v>94.5</v>
      </c>
    </row>
    <row r="38">
      <c r="A38">
        <v>6500</v>
      </c>
      <c r="B38">
        <f>C38/1.2</f>
        <v>16.25</v>
      </c>
      <c r="C38">
        <f>1500/500*(A38*0.001)</f>
        <v>19.5</v>
      </c>
      <c r="D38">
        <f>C38*1.05</f>
        <v>20.475</v>
      </c>
      <c r="E38">
        <f>C38*3</f>
        <v>58.5</v>
      </c>
      <c r="F38">
        <f>D38*8</f>
        <v>163.8</v>
      </c>
      <c r="G38">
        <f>F38*1.2</f>
        <v>196.56</v>
      </c>
      <c r="H38">
        <f>G38/1.012-0.2</f>
        <v>194.02924901185773</v>
      </c>
      <c r="I38">
        <f>D38*4</f>
        <v>81.9</v>
      </c>
      <c r="J38">
        <f>I38*1.2</f>
        <v>98.28</v>
      </c>
    </row>
    <row r="39">
      <c r="A39">
        <v>6750</v>
      </c>
      <c r="B39">
        <f>C39/1.2</f>
        <v>16.875</v>
      </c>
      <c r="C39">
        <f>1500/500*(A39*0.001)</f>
        <v>20.25</v>
      </c>
      <c r="D39">
        <f>C39*1.05</f>
        <v>21.2625</v>
      </c>
      <c r="E39">
        <f>C39*3</f>
        <v>60.75</v>
      </c>
      <c r="F39">
        <f>D39*8</f>
        <v>170.1</v>
      </c>
      <c r="G39">
        <f>F39*1.2</f>
        <v>204.11999999999998</v>
      </c>
      <c r="H39">
        <f>G39/1.012-0.2</f>
        <v>201.49960474308298</v>
      </c>
      <c r="I39">
        <f>D39*4</f>
        <v>85.05</v>
      </c>
      <c r="J39">
        <f>I39*1.2</f>
        <v>102.05999999999999</v>
      </c>
    </row>
    <row r="40">
      <c r="A40">
        <v>7000</v>
      </c>
      <c r="B40">
        <f>C40/1.2</f>
        <v>17.5</v>
      </c>
      <c r="C40">
        <f>1500/500*(A40*0.001)</f>
        <v>21</v>
      </c>
      <c r="D40">
        <f>C40*1.05</f>
        <v>22.05</v>
      </c>
      <c r="E40">
        <f>C40*3</f>
        <v>63</v>
      </c>
      <c r="F40">
        <f>D40*8</f>
        <v>176.4</v>
      </c>
      <c r="G40">
        <f>F40*1.2</f>
        <v>211.68</v>
      </c>
      <c r="H40">
        <f>G40/1.012-0.2</f>
        <v>208.96996047430832</v>
      </c>
      <c r="I40">
        <f>D40*4</f>
        <v>88.2</v>
      </c>
      <c r="J40">
        <f>I40*1.2</f>
        <v>105.84</v>
      </c>
    </row>
    <row r="41">
      <c r="A41">
        <v>7250</v>
      </c>
      <c r="B41">
        <f>C41/1.2</f>
        <v>18.125</v>
      </c>
      <c r="C41">
        <f>1500/500*(A41*0.001)</f>
        <v>21.75</v>
      </c>
      <c r="D41">
        <f>C41*1.05</f>
        <v>22.837500000000002</v>
      </c>
      <c r="E41">
        <f>C41*3</f>
        <v>65.25</v>
      </c>
      <c r="F41">
        <f>D41*8</f>
        <v>182.70000000000002</v>
      </c>
      <c r="G41">
        <f>F41*1.2</f>
        <v>219.24</v>
      </c>
      <c r="H41">
        <f>G41/1.012-0.2</f>
        <v>216.4403162055336</v>
      </c>
      <c r="I41">
        <f>D41*4</f>
        <v>91.35000000000001</v>
      </c>
      <c r="J41">
        <f>I41*1.2</f>
        <v>109.62</v>
      </c>
    </row>
    <row r="42">
      <c r="A42">
        <v>7500</v>
      </c>
      <c r="B42">
        <f>C42/1.2</f>
        <v>18.75</v>
      </c>
      <c r="C42">
        <f>1500/500*(A42*0.001)</f>
        <v>22.5</v>
      </c>
      <c r="D42">
        <f>C42*1.05</f>
        <v>23.625</v>
      </c>
      <c r="E42">
        <f>C42*3</f>
        <v>67.5</v>
      </c>
      <c r="F42">
        <f>D42*8</f>
        <v>189</v>
      </c>
      <c r="G42">
        <f>F42*1.2</f>
        <v>226.79999999999998</v>
      </c>
      <c r="H42">
        <f>G42/1.012-0.2</f>
        <v>223.9106719367589</v>
      </c>
      <c r="I42">
        <f>D42*4</f>
        <v>94.5</v>
      </c>
      <c r="J42">
        <f>I42*1.2</f>
        <v>113.39999999999999</v>
      </c>
    </row>
    <row r="43">
      <c r="A43">
        <v>7750</v>
      </c>
      <c r="B43">
        <f>C43/1.2</f>
        <v>19.375</v>
      </c>
      <c r="C43">
        <f>1500/500*(A43*0.001)</f>
        <v>23.25</v>
      </c>
      <c r="D43">
        <f>C43*1.05</f>
        <v>24.4125</v>
      </c>
      <c r="E43">
        <f>C43*3</f>
        <v>69.75</v>
      </c>
      <c r="F43">
        <f>D43*8</f>
        <v>195.3</v>
      </c>
      <c r="G43">
        <f>F43*1.2</f>
        <v>234.36</v>
      </c>
      <c r="H43">
        <f>G43/1.012-0.2</f>
        <v>231.3810276679842</v>
      </c>
      <c r="I43">
        <f>D43*4</f>
        <v>97.65</v>
      </c>
      <c r="J43">
        <f>I43*1.2</f>
        <v>117.18</v>
      </c>
    </row>
    <row r="44">
      <c r="A44">
        <v>8000</v>
      </c>
      <c r="B44">
        <f>C44/1.2</f>
        <v>20</v>
      </c>
      <c r="C44">
        <f>1500/500*(A44*0.001)</f>
        <v>24</v>
      </c>
      <c r="D44">
        <f>C44*1.05</f>
        <v>25.200000000000003</v>
      </c>
      <c r="E44">
        <f>C44*3</f>
        <v>72</v>
      </c>
      <c r="F44">
        <f>D44*8</f>
        <v>201.60000000000002</v>
      </c>
      <c r="G44">
        <f>F44*1.2</f>
        <v>241.92000000000002</v>
      </c>
      <c r="H44">
        <f>G44/1.012-0.2</f>
        <v>238.8513833992095</v>
      </c>
      <c r="I44">
        <f>D44*4</f>
        <v>100.80000000000001</v>
      </c>
      <c r="J44">
        <f>I44*1.2</f>
        <v>120.96000000000001</v>
      </c>
    </row>
    <row r="45">
      <c r="A45">
        <v>8250</v>
      </c>
      <c r="B45">
        <f>C45/1.2</f>
        <v>20.625</v>
      </c>
      <c r="C45">
        <f>1500/500*(A45*0.001)</f>
        <v>24.75</v>
      </c>
      <c r="D45">
        <f>C45*1.05</f>
        <v>25.9875</v>
      </c>
      <c r="E45">
        <f>C45*3</f>
        <v>74.25</v>
      </c>
      <c r="F45">
        <f>D45*8</f>
        <v>207.9</v>
      </c>
      <c r="G45">
        <f>F45*1.2</f>
        <v>249.48</v>
      </c>
      <c r="H45">
        <f>G45/1.012-0.2</f>
        <v>246.3217391304348</v>
      </c>
      <c r="I45">
        <f>D45*4</f>
        <v>103.95</v>
      </c>
      <c r="J45">
        <f>I45*1.2</f>
        <v>124.74</v>
      </c>
    </row>
    <row r="46">
      <c r="A46">
        <v>8500</v>
      </c>
      <c r="B46">
        <f>C46/1.2</f>
        <v>21.25</v>
      </c>
      <c r="C46">
        <f>1500/500*(A46*0.001)</f>
        <v>25.5</v>
      </c>
      <c r="D46">
        <f>C46*1.05</f>
        <v>26.775000000000002</v>
      </c>
      <c r="E46">
        <f>C46*3</f>
        <v>76.5</v>
      </c>
      <c r="F46">
        <f>D46*8</f>
        <v>214.20000000000002</v>
      </c>
      <c r="G46">
        <f>F46*1.2</f>
        <v>257.04</v>
      </c>
      <c r="H46">
        <f>G46/1.012-0.2</f>
        <v>253.7920948616601</v>
      </c>
      <c r="I46">
        <f>D46*4</f>
        <v>107.10000000000001</v>
      </c>
      <c r="J46">
        <f>I46*1.2</f>
        <v>128.52</v>
      </c>
    </row>
    <row r="47">
      <c r="A47">
        <v>8750</v>
      </c>
      <c r="B47">
        <f>C47/1.2</f>
        <v>21.875</v>
      </c>
      <c r="C47">
        <f>1500/500*(A47*0.001)</f>
        <v>26.25</v>
      </c>
      <c r="D47">
        <f>C47*1.05</f>
        <v>27.5625</v>
      </c>
      <c r="E47">
        <f>C47*3</f>
        <v>78.75</v>
      </c>
      <c r="F47">
        <f>D47*8</f>
        <v>220.5</v>
      </c>
      <c r="G47">
        <f>F47*1.2</f>
        <v>264.59999999999997</v>
      </c>
      <c r="H47">
        <f>G47/1.012-0.2</f>
        <v>261.26245059288533</v>
      </c>
      <c r="I47">
        <f>D47*4</f>
        <v>110.25</v>
      </c>
      <c r="J47">
        <f>I47*1.2</f>
        <v>132.29999999999998</v>
      </c>
    </row>
    <row r="48">
      <c r="A48">
        <v>9000</v>
      </c>
      <c r="B48">
        <f>C48/1.2</f>
        <v>22.5</v>
      </c>
      <c r="C48">
        <f>1500/500*(A48*0.001)</f>
        <v>27</v>
      </c>
      <c r="D48">
        <f>C48*1.05</f>
        <v>28.35</v>
      </c>
      <c r="E48">
        <f>C48*3</f>
        <v>81</v>
      </c>
      <c r="F48">
        <f>D48*8</f>
        <v>226.8</v>
      </c>
      <c r="G48">
        <f>F48*1.2</f>
        <v>272.16</v>
      </c>
      <c r="H48">
        <f>G48/1.012-0.2</f>
        <v>268.7328063241107</v>
      </c>
      <c r="I48">
        <f>D48*4</f>
        <v>113.4</v>
      </c>
      <c r="J48">
        <f>I48*1.2</f>
        <v>136.08</v>
      </c>
    </row>
    <row r="49">
      <c r="A49">
        <v>9250</v>
      </c>
      <c r="B49">
        <f>C49/1.2</f>
        <v>23.125</v>
      </c>
      <c r="C49">
        <f>1500/500*(A49*0.001)</f>
        <v>27.75</v>
      </c>
      <c r="D49">
        <f>C49*1.05</f>
        <v>29.137500000000003</v>
      </c>
      <c r="E49">
        <f>C49*3</f>
        <v>83.25</v>
      </c>
      <c r="F49">
        <f>D49*8</f>
        <v>233.10000000000002</v>
      </c>
      <c r="G49">
        <f>F49*1.2</f>
        <v>279.72</v>
      </c>
      <c r="H49">
        <f>G49/1.012-0.2</f>
        <v>276.203162055336</v>
      </c>
      <c r="I49">
        <f>D49*4</f>
        <v>116.55000000000001</v>
      </c>
      <c r="J49">
        <f>I49*1.2</f>
        <v>139.86</v>
      </c>
    </row>
    <row r="50">
      <c r="A50">
        <v>9500</v>
      </c>
      <c r="B50">
        <f>C50/1.2</f>
        <v>23.75</v>
      </c>
      <c r="C50">
        <f>1500/500*(A50*0.001)</f>
        <v>28.5</v>
      </c>
      <c r="D50">
        <f>C50*1.05</f>
        <v>29.925</v>
      </c>
      <c r="E50">
        <f>C50*3</f>
        <v>85.5</v>
      </c>
      <c r="F50">
        <f>D50*8</f>
        <v>239.4</v>
      </c>
      <c r="G50">
        <f>F50*1.2</f>
        <v>287.28</v>
      </c>
      <c r="H50">
        <f>G50/1.012-0.2</f>
        <v>283.67351778656126</v>
      </c>
      <c r="I50">
        <f>D50*4</f>
        <v>119.7</v>
      </c>
      <c r="J50">
        <f>I50*1.2</f>
        <v>143.64</v>
      </c>
    </row>
    <row r="51">
      <c r="A51">
        <v>9750</v>
      </c>
      <c r="B51">
        <f>C51/1.2</f>
        <v>24.375</v>
      </c>
      <c r="C51">
        <f>1500/500*(A51*0.001)</f>
        <v>29.25</v>
      </c>
      <c r="D51">
        <f>C51*1.05</f>
        <v>30.712500000000002</v>
      </c>
      <c r="E51">
        <f>C51*3</f>
        <v>87.75</v>
      </c>
      <c r="F51">
        <f>D51*8</f>
        <v>245.70000000000002</v>
      </c>
      <c r="G51">
        <f>F51*1.2</f>
        <v>294.84000000000003</v>
      </c>
      <c r="H51">
        <f>G51/1.012-0.2</f>
        <v>291.1438735177866</v>
      </c>
      <c r="I51">
        <f>D51*4</f>
        <v>122.85000000000001</v>
      </c>
      <c r="J51">
        <f>I51*1.2</f>
        <v>147.42000000000002</v>
      </c>
    </row>
    <row r="52">
      <c r="A52">
        <v>10000</v>
      </c>
      <c r="B52">
        <f>C52/1.2</f>
        <v>25</v>
      </c>
      <c r="C52">
        <f>1500/500*(A52*0.001)</f>
        <v>30</v>
      </c>
      <c r="D52">
        <f>C52*1.05</f>
        <v>31.5</v>
      </c>
      <c r="E52">
        <f>C52*3</f>
        <v>90</v>
      </c>
      <c r="F52">
        <f>D52*8</f>
        <v>252</v>
      </c>
      <c r="G52">
        <f>F52*1.2</f>
        <v>302.4</v>
      </c>
      <c r="H52">
        <f>G52/1.012-0.2</f>
        <v>298.6142292490118</v>
      </c>
      <c r="I52">
        <f>D52*4</f>
        <v>126</v>
      </c>
      <c r="J52">
        <f>I52*1.2</f>
        <v>151.2</v>
      </c>
    </row>
    <row r="53">
      <c r="A53">
        <v>10250</v>
      </c>
      <c r="B53">
        <f>C53/1.2</f>
        <v>25.625</v>
      </c>
      <c r="C53">
        <f>1500/500*(A53*0.001)</f>
        <v>30.75</v>
      </c>
      <c r="D53">
        <f>C53*1.05</f>
        <v>32.2875</v>
      </c>
      <c r="E53">
        <f>C53*3</f>
        <v>92.25</v>
      </c>
      <c r="F53">
        <f>D53*8</f>
        <v>258.3</v>
      </c>
      <c r="G53">
        <f>F53*1.2</f>
        <v>309.96</v>
      </c>
      <c r="H53">
        <f>G53/1.012-0.2</f>
        <v>306.08458498023714</v>
      </c>
      <c r="I53">
        <f>D53*4</f>
        <v>129.15</v>
      </c>
      <c r="J53">
        <f>I53*1.2</f>
        <v>154.98</v>
      </c>
    </row>
    <row r="54">
      <c r="A54">
        <v>10500</v>
      </c>
      <c r="B54">
        <f>C54/1.2</f>
        <v>26.25</v>
      </c>
      <c r="C54">
        <f>1500/500*(A54*0.001)</f>
        <v>31.5</v>
      </c>
      <c r="D54">
        <f>C54*1.05</f>
        <v>33.075</v>
      </c>
      <c r="E54">
        <f>C54*3</f>
        <v>94.5</v>
      </c>
      <c r="F54">
        <f>D54*8</f>
        <v>264.6</v>
      </c>
      <c r="G54">
        <f>F54*1.2</f>
        <v>317.52000000000004</v>
      </c>
      <c r="H54">
        <f>G54/1.012-0.2</f>
        <v>313.5549407114625</v>
      </c>
      <c r="I54">
        <f>D54*4</f>
        <v>132.3</v>
      </c>
      <c r="J54">
        <f>I54*1.2</f>
        <v>158.76000000000002</v>
      </c>
    </row>
    <row r="55">
      <c r="A55">
        <v>10750</v>
      </c>
      <c r="B55">
        <f>C55/1.2</f>
        <v>26.875</v>
      </c>
      <c r="C55">
        <f>1500/500*(A55*0.001)</f>
        <v>32.25</v>
      </c>
      <c r="D55">
        <f>C55*1.05</f>
        <v>33.862500000000004</v>
      </c>
      <c r="E55">
        <f>C55*3</f>
        <v>96.75</v>
      </c>
      <c r="F55">
        <f>D55*8</f>
        <v>270.90000000000003</v>
      </c>
      <c r="G55">
        <f>F55*1.2</f>
        <v>325.08000000000004</v>
      </c>
      <c r="H55">
        <f>G55/1.012-0.2</f>
        <v>321.0252964426878</v>
      </c>
      <c r="I55">
        <f>D55*4</f>
        <v>135.45000000000002</v>
      </c>
      <c r="J55">
        <f>I55*1.2</f>
        <v>162.54000000000002</v>
      </c>
    </row>
    <row r="56">
      <c r="A56">
        <v>11000</v>
      </c>
      <c r="B56">
        <f>C56/1.2</f>
        <v>27.5</v>
      </c>
      <c r="C56">
        <f>1500/500*(A56*0.001)</f>
        <v>33</v>
      </c>
      <c r="D56">
        <f>C56*1.05</f>
        <v>34.65</v>
      </c>
      <c r="E56">
        <f>C56*3</f>
        <v>99</v>
      </c>
      <c r="F56">
        <f>D56*8</f>
        <v>277.2</v>
      </c>
      <c r="G56">
        <f>F56*1.2</f>
        <v>332.64</v>
      </c>
      <c r="H56">
        <f>G56/1.012-0.2</f>
        <v>328.495652173913</v>
      </c>
      <c r="I56">
        <f>D56*4</f>
        <v>138.6</v>
      </c>
      <c r="J56">
        <f>I56*1.2</f>
        <v>166.32</v>
      </c>
    </row>
    <row r="57">
      <c r="A57">
        <v>11250</v>
      </c>
      <c r="B57">
        <f>C57/1.2</f>
        <v>28.125</v>
      </c>
      <c r="C57">
        <f>1500/500*(A57*0.001)</f>
        <v>33.75</v>
      </c>
      <c r="D57">
        <f>C57*1.05</f>
        <v>35.4375</v>
      </c>
      <c r="E57">
        <f>C57*3</f>
        <v>101.25</v>
      </c>
      <c r="F57">
        <f>D57*8</f>
        <v>283.5</v>
      </c>
      <c r="G57">
        <f>F57*1.2</f>
        <v>340.2</v>
      </c>
      <c r="H57">
        <f>G57/1.012-0.2</f>
        <v>335.9660079051383</v>
      </c>
      <c r="I57">
        <f>D57*4</f>
        <v>141.75</v>
      </c>
      <c r="J57">
        <f>I57*1.2</f>
        <v>170.1</v>
      </c>
    </row>
    <row r="58">
      <c r="A58">
        <v>11500</v>
      </c>
      <c r="B58">
        <f>C58/1.2</f>
        <v>28.75</v>
      </c>
      <c r="C58">
        <f>1500/500*(A58*0.001)</f>
        <v>34.5</v>
      </c>
      <c r="D58">
        <f>C58*1.05</f>
        <v>36.225</v>
      </c>
      <c r="E58">
        <f>C58*3</f>
        <v>103.5</v>
      </c>
      <c r="F58">
        <f>D58*8</f>
        <v>289.8</v>
      </c>
      <c r="G58">
        <f>F58*1.2</f>
        <v>347.76</v>
      </c>
      <c r="H58">
        <f>G58/1.012-0.2</f>
        <v>343.43636363636364</v>
      </c>
      <c r="I58">
        <f>D58*4</f>
        <v>144.9</v>
      </c>
      <c r="J58">
        <f>I58*1.2</f>
        <v>173.88</v>
      </c>
    </row>
    <row r="59">
      <c r="A59">
        <v>11750</v>
      </c>
      <c r="B59">
        <f>C59/1.2</f>
        <v>29.375</v>
      </c>
      <c r="C59">
        <f>1500/500*(A59*0.001)</f>
        <v>35.25</v>
      </c>
      <c r="D59">
        <f>C59*1.05</f>
        <v>37.0125</v>
      </c>
      <c r="E59">
        <f>C59*3</f>
        <v>105.75</v>
      </c>
      <c r="F59">
        <f>D59*8</f>
        <v>296.1</v>
      </c>
      <c r="G59">
        <f>F59*1.2</f>
        <v>355.32</v>
      </c>
      <c r="H59">
        <f>G59/1.012-0.2</f>
        <v>350.90671936758895</v>
      </c>
      <c r="I59">
        <f>D59*4</f>
        <v>148.05</v>
      </c>
      <c r="J59">
        <f>I59*1.2</f>
        <v>177.66</v>
      </c>
    </row>
    <row r="60">
      <c r="A60">
        <v>12000</v>
      </c>
      <c r="B60">
        <f>C60/1.2</f>
        <v>30</v>
      </c>
      <c r="C60">
        <f>1500/500*(A60*0.001)</f>
        <v>36</v>
      </c>
      <c r="D60">
        <f>C60*1.05</f>
        <v>37.800000000000004</v>
      </c>
      <c r="E60">
        <f>C60*3</f>
        <v>108</v>
      </c>
      <c r="F60">
        <f>D60*8</f>
        <v>302.40000000000003</v>
      </c>
      <c r="G60">
        <f>F60*1.2</f>
        <v>362.88000000000005</v>
      </c>
      <c r="H60">
        <f>G60/1.012-0.2</f>
        <v>358.3770750988143</v>
      </c>
      <c r="I60">
        <f>D60*4</f>
        <v>151.20000000000002</v>
      </c>
      <c r="J60">
        <f>I60*1.2</f>
        <v>181.44000000000003</v>
      </c>
    </row>
    <row r="61">
      <c r="A61">
        <v>12250</v>
      </c>
      <c r="B61">
        <f>C61/1.2</f>
        <v>30.625</v>
      </c>
      <c r="C61">
        <f>1500/500*(A61*0.001)</f>
        <v>36.75</v>
      </c>
      <c r="D61">
        <f>C61*1.05</f>
        <v>38.5875</v>
      </c>
      <c r="E61">
        <f>C61*3</f>
        <v>110.25</v>
      </c>
      <c r="F61">
        <f>D61*8</f>
        <v>308.7</v>
      </c>
      <c r="G61">
        <f>F61*1.2</f>
        <v>370.44</v>
      </c>
      <c r="H61">
        <f>G61/1.012-0.2</f>
        <v>365.8474308300395</v>
      </c>
      <c r="I61">
        <f>D61*4</f>
        <v>154.35</v>
      </c>
      <c r="J61">
        <f>I61*1.2</f>
        <v>185.22</v>
      </c>
    </row>
    <row r="62">
      <c r="A62">
        <v>12500</v>
      </c>
      <c r="B62">
        <f>C62/1.2</f>
        <v>31.25</v>
      </c>
      <c r="C62">
        <f>1500/500*(A62*0.001)</f>
        <v>37.5</v>
      </c>
      <c r="D62">
        <f>C62*1.05</f>
        <v>39.375</v>
      </c>
      <c r="E62">
        <f>C62*3</f>
        <v>112.5</v>
      </c>
      <c r="F62">
        <f>D62*8</f>
        <v>315</v>
      </c>
      <c r="G62">
        <f>F62*1.2</f>
        <v>378</v>
      </c>
      <c r="H62">
        <f>G62/1.012-0.2</f>
        <v>373.3177865612648</v>
      </c>
      <c r="I62">
        <f>D62*4</f>
        <v>157.5</v>
      </c>
      <c r="J62">
        <f>I62*1.2</f>
        <v>189</v>
      </c>
    </row>
    <row r="63">
      <c r="A63">
        <v>12750</v>
      </c>
      <c r="B63">
        <f>C63/1.2</f>
        <v>31.875</v>
      </c>
      <c r="C63">
        <f>1500/500*(A63*0.001)</f>
        <v>38.25</v>
      </c>
      <c r="D63">
        <f>C63*1.05</f>
        <v>40.1625</v>
      </c>
      <c r="E63">
        <f>C63*3</f>
        <v>114.75</v>
      </c>
      <c r="F63">
        <f>D63*8</f>
        <v>321.3</v>
      </c>
      <c r="G63">
        <f>F63*1.2</f>
        <v>385.56</v>
      </c>
      <c r="H63">
        <f>G63/1.012-0.2</f>
        <v>380.78814229249014</v>
      </c>
      <c r="I63">
        <f>D63*4</f>
        <v>160.65</v>
      </c>
      <c r="J63">
        <f>I63*1.2</f>
        <v>192.78</v>
      </c>
    </row>
    <row r="64">
      <c r="A64">
        <v>13000</v>
      </c>
      <c r="B64">
        <f>C64/1.2</f>
        <v>32.5</v>
      </c>
      <c r="C64">
        <f>1500/500*(A64*0.001)</f>
        <v>39</v>
      </c>
      <c r="D64">
        <f>C64*1.05</f>
        <v>40.95</v>
      </c>
      <c r="E64">
        <f>C64*3</f>
        <v>117</v>
      </c>
      <c r="F64">
        <f>D64*8</f>
        <v>327.6</v>
      </c>
      <c r="G64">
        <f>F64*1.2</f>
        <v>393.12</v>
      </c>
      <c r="H64">
        <f>G64/1.012-0.2</f>
        <v>388.25849802371545</v>
      </c>
      <c r="I64">
        <f>D64*4</f>
        <v>163.8</v>
      </c>
      <c r="J64">
        <f>I64*1.2</f>
        <v>196.56</v>
      </c>
    </row>
    <row r="65">
      <c r="A65">
        <v>13250</v>
      </c>
      <c r="B65">
        <f>C65/1.2</f>
        <v>33.125</v>
      </c>
      <c r="C65">
        <f>1500/500*(A65*0.001)</f>
        <v>39.75</v>
      </c>
      <c r="D65">
        <f>C65*1.05</f>
        <v>41.737500000000004</v>
      </c>
      <c r="E65">
        <f>C65*3</f>
        <v>119.25</v>
      </c>
      <c r="F65">
        <f>D65*8</f>
        <v>333.90000000000003</v>
      </c>
      <c r="G65">
        <f>F65*1.2</f>
        <v>400.68</v>
      </c>
      <c r="H65">
        <f>G65/1.012-0.2</f>
        <v>395.7288537549407</v>
      </c>
      <c r="I65">
        <f>D65*4</f>
        <v>166.95000000000002</v>
      </c>
      <c r="J65">
        <f>I65*1.2</f>
        <v>200.34</v>
      </c>
    </row>
    <row r="66">
      <c r="A66">
        <v>13500</v>
      </c>
      <c r="B66">
        <f>C66/1.2</f>
        <v>33.75</v>
      </c>
      <c r="C66">
        <f>1500/500*(A66*0.001)</f>
        <v>40.5</v>
      </c>
      <c r="D66">
        <f>C66*1.05</f>
        <v>42.525</v>
      </c>
      <c r="E66">
        <f>C66*3</f>
        <v>121.5</v>
      </c>
      <c r="F66">
        <f>D66*8</f>
        <v>340.2</v>
      </c>
      <c r="G66">
        <f>F66*1.2</f>
        <v>408.23999999999995</v>
      </c>
      <c r="H66">
        <f>G66/1.012-0.2</f>
        <v>403.19920948616596</v>
      </c>
      <c r="I66">
        <f>D66*4</f>
        <v>170.1</v>
      </c>
      <c r="J66">
        <f>I66*1.2</f>
        <v>204.11999999999998</v>
      </c>
    </row>
    <row r="67">
      <c r="A67">
        <v>13750</v>
      </c>
      <c r="B67">
        <f>C67/1.2</f>
        <v>34.375</v>
      </c>
      <c r="C67">
        <f>1500/500*(A67*0.001)</f>
        <v>41.25</v>
      </c>
      <c r="D67">
        <f>C67*1.05</f>
        <v>43.3125</v>
      </c>
      <c r="E67">
        <f>C67*3</f>
        <v>123.75</v>
      </c>
      <c r="F67">
        <f>D67*8</f>
        <v>346.5</v>
      </c>
      <c r="G67">
        <f>F67*1.2</f>
        <v>415.8</v>
      </c>
      <c r="H67">
        <f>G67/1.012-0.2</f>
        <v>410.6695652173913</v>
      </c>
      <c r="I67">
        <f>D67*4</f>
        <v>173.25</v>
      </c>
      <c r="J67">
        <f>I67*1.2</f>
        <v>207.9</v>
      </c>
    </row>
    <row r="68">
      <c r="A68">
        <v>14000</v>
      </c>
      <c r="B68">
        <f>C68/1.2</f>
        <v>35</v>
      </c>
      <c r="C68">
        <f>1500/500*(A68*0.001)</f>
        <v>42</v>
      </c>
      <c r="D68">
        <f>C68*1.05</f>
        <v>44.1</v>
      </c>
      <c r="E68">
        <f>C68*3</f>
        <v>126</v>
      </c>
      <c r="F68">
        <f>D68*8</f>
        <v>352.8</v>
      </c>
      <c r="G68">
        <f>F68*1.2</f>
        <v>423.36</v>
      </c>
      <c r="H68">
        <f>G68/1.012-0.2</f>
        <v>418.13992094861663</v>
      </c>
      <c r="I68">
        <f>D68*4</f>
        <v>176.4</v>
      </c>
      <c r="J68">
        <f>I68*1.2</f>
        <v>211.68</v>
      </c>
    </row>
    <row r="69">
      <c r="A69">
        <v>14250</v>
      </c>
      <c r="B69">
        <f>C69/1.2</f>
        <v>35.625</v>
      </c>
      <c r="C69">
        <f>1500/500*(A69*0.001)</f>
        <v>42.75</v>
      </c>
      <c r="D69">
        <f>C69*1.05</f>
        <v>44.8875</v>
      </c>
      <c r="E69">
        <f>C69*3</f>
        <v>128.25</v>
      </c>
      <c r="F69">
        <f>D69*8</f>
        <v>359.1</v>
      </c>
      <c r="G69">
        <f>F69*1.2</f>
        <v>430.92</v>
      </c>
      <c r="H69">
        <f>G69/1.012-0.2</f>
        <v>425.61027667984195</v>
      </c>
      <c r="I69">
        <f>D69*4</f>
        <v>179.55</v>
      </c>
      <c r="J69">
        <f>I69*1.2</f>
        <v>215.46</v>
      </c>
    </row>
    <row r="70">
      <c r="A70">
        <v>14500</v>
      </c>
      <c r="B70">
        <f>C70/1.2</f>
        <v>36.25</v>
      </c>
      <c r="C70">
        <f>1500/500*(A70*0.001)</f>
        <v>43.5</v>
      </c>
      <c r="D70">
        <f>C70*1.05</f>
        <v>45.675000000000004</v>
      </c>
      <c r="E70">
        <f>C70*3</f>
        <v>130.5</v>
      </c>
      <c r="F70">
        <f>D70*8</f>
        <v>365.40000000000003</v>
      </c>
      <c r="G70">
        <f>F70*1.2</f>
        <v>438.48</v>
      </c>
      <c r="H70">
        <f>G70/1.012-0.2</f>
        <v>433.0806324110672</v>
      </c>
      <c r="I70">
        <f>D70*4</f>
        <v>182.70000000000002</v>
      </c>
      <c r="J70">
        <f>I70*1.2</f>
        <v>219.24</v>
      </c>
    </row>
    <row r="71">
      <c r="A71">
        <v>14750</v>
      </c>
      <c r="B71">
        <f>C71/1.2</f>
        <v>36.875</v>
      </c>
      <c r="C71">
        <f>1500/500*(A71*0.001)</f>
        <v>44.25</v>
      </c>
      <c r="D71">
        <f>C71*1.05</f>
        <v>46.4625</v>
      </c>
      <c r="E71">
        <f>C71*3</f>
        <v>132.75</v>
      </c>
      <c r="F71">
        <f>D71*8</f>
        <v>371.7</v>
      </c>
      <c r="G71">
        <f>F71*1.2</f>
        <v>446.03999999999996</v>
      </c>
      <c r="H71">
        <f>G71/1.012-0.2</f>
        <v>440.55098814229245</v>
      </c>
      <c r="I71">
        <f>D71*4</f>
        <v>185.85</v>
      </c>
      <c r="J71">
        <f>I71*1.2</f>
        <v>223.01999999999998</v>
      </c>
    </row>
    <row r="72">
      <c r="A72">
        <v>15000</v>
      </c>
      <c r="B72">
        <f>C72/1.2</f>
        <v>37.5</v>
      </c>
      <c r="C72">
        <f>1500/500*(A72*0.001)</f>
        <v>45</v>
      </c>
      <c r="D72">
        <f>C72*1.05</f>
        <v>47.25</v>
      </c>
      <c r="E72">
        <f>C72*3</f>
        <v>135</v>
      </c>
      <c r="F72">
        <f>D72*8</f>
        <v>378</v>
      </c>
      <c r="G72">
        <f>F72*1.2</f>
        <v>453.59999999999997</v>
      </c>
      <c r="H72">
        <f>G72/1.012-0.2</f>
        <v>448.02134387351776</v>
      </c>
      <c r="I72">
        <f>D72*4</f>
        <v>189</v>
      </c>
      <c r="J72">
        <f>I72*1.2</f>
        <v>226.79999999999998</v>
      </c>
    </row>
    <row r="73">
      <c r="A73">
        <v>15250</v>
      </c>
      <c r="B73">
        <f>C73/1.2</f>
        <v>38.125</v>
      </c>
      <c r="C73">
        <f>1500/500*(A73*0.001)</f>
        <v>45.75</v>
      </c>
      <c r="D73">
        <f>C73*1.05</f>
        <v>48.0375</v>
      </c>
      <c r="E73">
        <f>C73*3</f>
        <v>137.25</v>
      </c>
      <c r="F73">
        <f>D73*8</f>
        <v>384.3</v>
      </c>
      <c r="G73">
        <f>F73*1.2</f>
        <v>461.15999999999997</v>
      </c>
      <c r="H73">
        <f>G73/1.012-0.2</f>
        <v>455.4916996047431</v>
      </c>
      <c r="I73">
        <f>D73*4</f>
        <v>192.15</v>
      </c>
      <c r="J73">
        <f>I73*1.2</f>
        <v>230.57999999999998</v>
      </c>
    </row>
    <row r="74">
      <c r="A74">
        <v>15500</v>
      </c>
      <c r="B74">
        <f>C74/1.2</f>
        <v>38.75</v>
      </c>
      <c r="C74">
        <f>1500/500*(A74*0.001)</f>
        <v>46.5</v>
      </c>
      <c r="D74">
        <f>C74*1.05</f>
        <v>48.825</v>
      </c>
      <c r="E74">
        <f>C74*3</f>
        <v>139.5</v>
      </c>
      <c r="F74">
        <f>D74*8</f>
        <v>390.6</v>
      </c>
      <c r="G74">
        <f>F74*1.2</f>
        <v>468.72</v>
      </c>
      <c r="H74">
        <f>G74/1.012-0.2</f>
        <v>462.9620553359684</v>
      </c>
      <c r="I74">
        <f>D74*4</f>
        <v>195.3</v>
      </c>
      <c r="J74">
        <f>I74*1.2</f>
        <v>234.36</v>
      </c>
    </row>
    <row r="75">
      <c r="A75">
        <v>15750</v>
      </c>
      <c r="B75">
        <f>C75/1.2</f>
        <v>39.375</v>
      </c>
      <c r="C75">
        <f>1500/500*(A75*0.001)</f>
        <v>47.25</v>
      </c>
      <c r="D75">
        <f>C75*1.05</f>
        <v>49.612500000000004</v>
      </c>
      <c r="E75">
        <f>C75*3</f>
        <v>141.75</v>
      </c>
      <c r="F75">
        <f>D75*8</f>
        <v>396.90000000000003</v>
      </c>
      <c r="G75">
        <f>F75*1.2</f>
        <v>476.28000000000003</v>
      </c>
      <c r="H75">
        <f>G75/1.012-0.2</f>
        <v>470.4324110671937</v>
      </c>
      <c r="I75">
        <f>D75*4</f>
        <v>198.45000000000002</v>
      </c>
      <c r="J75">
        <f>I75*1.2</f>
        <v>238.14000000000001</v>
      </c>
    </row>
    <row r="76">
      <c r="A76">
        <v>16000</v>
      </c>
      <c r="B76">
        <f>C76/1.2</f>
        <v>40</v>
      </c>
      <c r="C76">
        <f>1500/500*(A76*0.001)</f>
        <v>48</v>
      </c>
      <c r="D76">
        <f>C76*1.05</f>
        <v>50.400000000000006</v>
      </c>
      <c r="E76">
        <f>C76*3</f>
        <v>144</v>
      </c>
      <c r="F76">
        <f>D76*8</f>
        <v>403.20000000000005</v>
      </c>
      <c r="G76">
        <f>F76*1.2</f>
        <v>483.84000000000003</v>
      </c>
      <c r="H76">
        <f>G76/1.012-0.2</f>
        <v>477.902766798419</v>
      </c>
      <c r="I76">
        <f>D76*4</f>
        <v>201.60000000000002</v>
      </c>
      <c r="J76">
        <f>I76*1.2</f>
        <v>241.92000000000002</v>
      </c>
    </row>
    <row r="77">
      <c r="A77">
        <v>16250</v>
      </c>
      <c r="B77">
        <f>C77/1.2</f>
        <v>40.625</v>
      </c>
      <c r="C77">
        <f>1500/500*(A77*0.001)</f>
        <v>48.75</v>
      </c>
      <c r="D77">
        <f>C77*1.05</f>
        <v>51.1875</v>
      </c>
      <c r="E77">
        <f>C77*3</f>
        <v>146.25</v>
      </c>
      <c r="F77">
        <f>D77*8</f>
        <v>409.5</v>
      </c>
      <c r="G77">
        <f>F77*1.2</f>
        <v>491.4</v>
      </c>
      <c r="H77">
        <f>G77/1.012-0.2</f>
        <v>485.37312252964426</v>
      </c>
      <c r="I77">
        <f>D77*4</f>
        <v>204.75</v>
      </c>
      <c r="J77">
        <f>I77*1.2</f>
        <v>245.7</v>
      </c>
    </row>
    <row r="78">
      <c r="A78">
        <v>16500</v>
      </c>
      <c r="B78">
        <f>C78/1.2</f>
        <v>41.25</v>
      </c>
      <c r="C78">
        <f>1500/500*(A78*0.001)</f>
        <v>49.5</v>
      </c>
      <c r="D78">
        <f>C78*1.05</f>
        <v>51.975</v>
      </c>
      <c r="E78">
        <f>C78*3</f>
        <v>148.5</v>
      </c>
      <c r="F78">
        <f>D78*8</f>
        <v>415.8</v>
      </c>
      <c r="G78">
        <f>F78*1.2</f>
        <v>498.96</v>
      </c>
      <c r="H78">
        <f>G78/1.012-0.2</f>
        <v>492.8434782608696</v>
      </c>
      <c r="I78">
        <f>D78*4</f>
        <v>207.9</v>
      </c>
      <c r="J78">
        <f>I78*1.2</f>
        <v>249.48</v>
      </c>
    </row>
    <row r="79">
      <c r="A79">
        <v>16750</v>
      </c>
      <c r="B79">
        <f>C79/1.2</f>
        <v>41.875</v>
      </c>
      <c r="C79">
        <f>1500/500*(A79*0.001)</f>
        <v>50.25</v>
      </c>
      <c r="D79">
        <f>C79*1.05</f>
        <v>52.7625</v>
      </c>
      <c r="E79">
        <f>C79*3</f>
        <v>150.75</v>
      </c>
      <c r="F79">
        <f>D79*8</f>
        <v>422.1</v>
      </c>
      <c r="G79">
        <f>F79*1.2</f>
        <v>506.52</v>
      </c>
      <c r="H79">
        <f>G79/1.012-0.2</f>
        <v>500.3138339920948</v>
      </c>
      <c r="I79">
        <f>D79*4</f>
        <v>211.05</v>
      </c>
      <c r="J79">
        <f>I79*1.2</f>
        <v>253.26</v>
      </c>
    </row>
    <row r="80">
      <c r="A80">
        <v>17000</v>
      </c>
      <c r="B80">
        <f>C80/1.2</f>
        <v>42.5</v>
      </c>
      <c r="C80">
        <f>1500/500*(A80*0.001)</f>
        <v>51</v>
      </c>
      <c r="D80">
        <f>C80*1.05</f>
        <v>53.550000000000004</v>
      </c>
      <c r="E80">
        <f>C80*3</f>
        <v>153</v>
      </c>
      <c r="F80">
        <f>D80*8</f>
        <v>428.40000000000003</v>
      </c>
      <c r="G80">
        <f>F80*1.2</f>
        <v>514.08</v>
      </c>
      <c r="H80">
        <f>G80/1.012-0.2</f>
        <v>507.7841897233202</v>
      </c>
      <c r="I80">
        <f>D80*4</f>
        <v>214.20000000000002</v>
      </c>
      <c r="J80">
        <f>I80*1.2</f>
        <v>257.04</v>
      </c>
    </row>
    <row r="81">
      <c r="A81">
        <v>17250</v>
      </c>
      <c r="B81">
        <f>C81/1.2</f>
        <v>43.125</v>
      </c>
      <c r="C81">
        <f>1500/500*(A81*0.001)</f>
        <v>51.75</v>
      </c>
      <c r="D81">
        <f>C81*1.05</f>
        <v>54.337500000000006</v>
      </c>
      <c r="E81">
        <f>C81*3</f>
        <v>155.25</v>
      </c>
      <c r="F81">
        <f>D81*8</f>
        <v>434.70000000000005</v>
      </c>
      <c r="G81">
        <f>F81*1.2</f>
        <v>521.64</v>
      </c>
      <c r="H81">
        <f>G81/1.012-0.2</f>
        <v>515.2545454545453</v>
      </c>
      <c r="I81">
        <f>D81*4</f>
        <v>217.35000000000002</v>
      </c>
      <c r="J81">
        <f>I81*1.2</f>
        <v>260.82</v>
      </c>
    </row>
    <row r="82">
      <c r="A82">
        <v>17500</v>
      </c>
      <c r="B82">
        <f>C82/1.2</f>
        <v>43.75</v>
      </c>
      <c r="C82">
        <f>1500/500*(A82*0.001)</f>
        <v>52.5</v>
      </c>
      <c r="D82">
        <f>C82*1.05</f>
        <v>55.125</v>
      </c>
      <c r="E82">
        <f>C82*3</f>
        <v>157.5</v>
      </c>
      <c r="F82">
        <f>D82*8</f>
        <v>441</v>
      </c>
      <c r="G82">
        <f>F82*1.2</f>
        <v>529.1999999999999</v>
      </c>
      <c r="H82">
        <f>G82/1.012-0.2</f>
        <v>522.7249011857706</v>
      </c>
      <c r="I82">
        <f>D82*4</f>
        <v>220.5</v>
      </c>
      <c r="J82">
        <f>I82*1.2</f>
        <v>264.59999999999997</v>
      </c>
    </row>
    <row r="83">
      <c r="A83">
        <v>17750</v>
      </c>
      <c r="B83">
        <f>C83/1.2</f>
        <v>44.375</v>
      </c>
      <c r="C83">
        <f>1500/500*(A83*0.001)</f>
        <v>53.25</v>
      </c>
      <c r="D83">
        <f>C83*1.05</f>
        <v>55.9125</v>
      </c>
      <c r="E83">
        <f>C83*3</f>
        <v>159.75</v>
      </c>
      <c r="F83">
        <f>D83*8</f>
        <v>447.3</v>
      </c>
      <c r="G83">
        <f>F83*1.2</f>
        <v>536.76</v>
      </c>
      <c r="H83">
        <f>G83/1.012-0.2</f>
        <v>530.195256916996</v>
      </c>
      <c r="I83">
        <f>D83*4</f>
        <v>223.65</v>
      </c>
      <c r="J83">
        <f>I83*1.2</f>
        <v>268.38</v>
      </c>
    </row>
    <row r="84">
      <c r="A84">
        <v>18000</v>
      </c>
      <c r="B84">
        <f>C84/1.2</f>
        <v>45</v>
      </c>
      <c r="C84">
        <f>1500/500*(A84*0.001)</f>
        <v>54</v>
      </c>
      <c r="D84">
        <f>C84*1.05</f>
        <v>56.7</v>
      </c>
      <c r="E84">
        <f>C84*3</f>
        <v>162</v>
      </c>
      <c r="F84">
        <f>D84*8</f>
        <v>453.6</v>
      </c>
      <c r="G84">
        <f>F84*1.2</f>
        <v>544.32</v>
      </c>
      <c r="H84">
        <f>G84/1.012-0.2</f>
        <v>537.6656126482213</v>
      </c>
      <c r="I84">
        <f>D84*4</f>
        <v>226.8</v>
      </c>
      <c r="J84">
        <f>I84*1.2</f>
        <v>272.16</v>
      </c>
    </row>
    <row r="85">
      <c r="A85">
        <v>18250</v>
      </c>
      <c r="B85">
        <f>C85/1.2</f>
        <v>45.625</v>
      </c>
      <c r="C85">
        <f>1500/500*(A85*0.001)</f>
        <v>54.75</v>
      </c>
      <c r="D85">
        <f>C85*1.05</f>
        <v>57.487500000000004</v>
      </c>
      <c r="E85">
        <f>C85*3</f>
        <v>164.25</v>
      </c>
      <c r="F85">
        <f>D85*8</f>
        <v>459.90000000000003</v>
      </c>
      <c r="G85">
        <f>F85*1.2</f>
        <v>551.88</v>
      </c>
      <c r="H85">
        <f>G85/1.012-0.2</f>
        <v>545.1359683794466</v>
      </c>
      <c r="I85">
        <f>D85*4</f>
        <v>229.95000000000002</v>
      </c>
      <c r="J85">
        <f>I85*1.2</f>
        <v>275.94</v>
      </c>
    </row>
    <row r="86">
      <c r="A86">
        <v>18500</v>
      </c>
      <c r="B86">
        <f>C86/1.2</f>
        <v>46.25</v>
      </c>
      <c r="C86">
        <f>1500/500*(A86*0.001)</f>
        <v>55.5</v>
      </c>
      <c r="D86">
        <f>C86*1.05</f>
        <v>58.275000000000006</v>
      </c>
      <c r="E86">
        <f>C86*3</f>
        <v>166.5</v>
      </c>
      <c r="F86">
        <f>D86*8</f>
        <v>466.20000000000005</v>
      </c>
      <c r="G86">
        <f>F86*1.2</f>
        <v>559.44</v>
      </c>
      <c r="H86">
        <f>G86/1.012-0.2</f>
        <v>552.606324110672</v>
      </c>
      <c r="I86">
        <f>D86*4</f>
        <v>233.10000000000002</v>
      </c>
      <c r="J86">
        <f>I86*1.2</f>
        <v>279.72</v>
      </c>
    </row>
    <row r="87">
      <c r="A87">
        <v>18750</v>
      </c>
      <c r="B87">
        <f>C87/1.2</f>
        <v>46.875</v>
      </c>
      <c r="C87">
        <f>1500/500*(A87*0.001)</f>
        <v>56.25</v>
      </c>
      <c r="D87">
        <f>C87*1.05</f>
        <v>59.0625</v>
      </c>
      <c r="E87">
        <f>C87*3</f>
        <v>168.75</v>
      </c>
      <c r="F87">
        <f>D87*8</f>
        <v>472.5</v>
      </c>
      <c r="G87">
        <f>F87*1.2</f>
        <v>567</v>
      </c>
      <c r="H87">
        <f>G87/1.012-0.2</f>
        <v>560.0766798418972</v>
      </c>
      <c r="I87">
        <f>D87*4</f>
        <v>236.25</v>
      </c>
      <c r="J87">
        <f>I87*1.2</f>
        <v>283.5</v>
      </c>
    </row>
    <row r="88">
      <c r="A88">
        <v>19000</v>
      </c>
      <c r="B88">
        <f>C88/1.2</f>
        <v>47.5</v>
      </c>
      <c r="C88">
        <f>1500/500*(A88*0.001)</f>
        <v>57</v>
      </c>
      <c r="D88">
        <f>C88*1.05</f>
        <v>59.85</v>
      </c>
      <c r="E88">
        <f>C88*3</f>
        <v>171</v>
      </c>
      <c r="F88">
        <f>D88*8</f>
        <v>478.8</v>
      </c>
      <c r="G88">
        <f>F88*1.2</f>
        <v>574.56</v>
      </c>
      <c r="H88">
        <f>G88/1.012-0.2</f>
        <v>567.5470355731225</v>
      </c>
      <c r="I88">
        <f>D88*4</f>
        <v>239.4</v>
      </c>
      <c r="J88">
        <f>I88*1.2</f>
        <v>287.28</v>
      </c>
    </row>
    <row r="89">
      <c r="A89">
        <v>19250</v>
      </c>
      <c r="B89">
        <f>C89/1.2</f>
        <v>48.125</v>
      </c>
      <c r="C89">
        <f>1500/500*(A89*0.001)</f>
        <v>57.75</v>
      </c>
      <c r="D89">
        <f>C89*1.05</f>
        <v>60.6375</v>
      </c>
      <c r="E89">
        <f>C89*3</f>
        <v>173.25</v>
      </c>
      <c r="F89">
        <f>D89*8</f>
        <v>485.1</v>
      </c>
      <c r="G89">
        <f>F89*1.2</f>
        <v>582.12</v>
      </c>
      <c r="H89">
        <f>G89/1.012-0.2</f>
        <v>575.0173913043478</v>
      </c>
      <c r="I89">
        <f>D89*4</f>
        <v>242.55</v>
      </c>
      <c r="J89">
        <f>I89*1.2</f>
        <v>291.06</v>
      </c>
    </row>
    <row r="90">
      <c r="A90">
        <v>19500</v>
      </c>
      <c r="B90">
        <f>C90/1.2</f>
        <v>48.75</v>
      </c>
      <c r="C90">
        <f>1500/500*(A90*0.001)</f>
        <v>58.5</v>
      </c>
      <c r="D90">
        <f>C90*1.05</f>
        <v>61.425000000000004</v>
      </c>
      <c r="E90">
        <f>C90*3</f>
        <v>175.5</v>
      </c>
      <c r="F90">
        <f>D90*8</f>
        <v>491.40000000000003</v>
      </c>
      <c r="G90">
        <f>F90*1.2</f>
        <v>589.6800000000001</v>
      </c>
      <c r="H90">
        <f>G90/1.012-0.2</f>
        <v>582.4877470355731</v>
      </c>
      <c r="I90">
        <f>D90*4</f>
        <v>245.70000000000002</v>
      </c>
      <c r="J90">
        <f>I90*1.2</f>
        <v>294.84000000000003</v>
      </c>
    </row>
    <row r="91">
      <c r="A91">
        <v>19750</v>
      </c>
      <c r="B91">
        <f>C91/1.2</f>
        <v>49.375</v>
      </c>
      <c r="C91">
        <f>1500/500*(A91*0.001)</f>
        <v>59.25</v>
      </c>
      <c r="D91">
        <f>C91*1.05</f>
        <v>62.212500000000006</v>
      </c>
      <c r="E91">
        <f>C91*3</f>
        <v>177.75</v>
      </c>
      <c r="F91">
        <f>D91*8</f>
        <v>497.70000000000005</v>
      </c>
      <c r="G91">
        <f>F91*1.2</f>
        <v>597.24</v>
      </c>
      <c r="H91">
        <f>G91/1.012-0.2</f>
        <v>589.9581027667983</v>
      </c>
      <c r="I91">
        <f>D91*4</f>
        <v>248.85000000000002</v>
      </c>
      <c r="J91">
        <f>I91*1.2</f>
        <v>298.62</v>
      </c>
    </row>
    <row r="92">
      <c r="A92">
        <v>20000</v>
      </c>
      <c r="B92">
        <f>C92/1.2</f>
        <v>50</v>
      </c>
      <c r="C92">
        <f>1500/500*(A92*0.001)</f>
        <v>60</v>
      </c>
      <c r="D92">
        <f>C92*1.05</f>
        <v>63</v>
      </c>
      <c r="E92">
        <f>C92*3</f>
        <v>180</v>
      </c>
      <c r="F92">
        <f>D92*8</f>
        <v>504</v>
      </c>
      <c r="G92">
        <f>F92*1.2</f>
        <v>604.8</v>
      </c>
      <c r="H92">
        <f>G92/1.012-0.2</f>
        <v>597.4284584980236</v>
      </c>
      <c r="I92">
        <f>D92*4</f>
        <v>252</v>
      </c>
      <c r="J92">
        <f>I92*1.2</f>
        <v>302.4</v>
      </c>
    </row>
    <row r="93">
      <c r="A93">
        <v>20250</v>
      </c>
      <c r="B93">
        <f>C93/1.2</f>
        <v>50.625</v>
      </c>
      <c r="C93">
        <f>1500/500*(A93*0.001)</f>
        <v>60.75</v>
      </c>
      <c r="D93">
        <f>C93*1.05</f>
        <v>63.7875</v>
      </c>
      <c r="E93">
        <f>C93*3</f>
        <v>182.25</v>
      </c>
      <c r="F93">
        <f>D93*8</f>
        <v>510.3</v>
      </c>
      <c r="G93">
        <f>F93*1.2</f>
        <v>612.36</v>
      </c>
      <c r="H93">
        <f>G93/1.012-0.2</f>
        <v>604.898814229249</v>
      </c>
      <c r="I93">
        <f>D93*4</f>
        <v>255.15</v>
      </c>
      <c r="J93">
        <f>I93*1.2</f>
        <v>306.18</v>
      </c>
    </row>
    <row r="94">
      <c r="A94">
        <v>20500</v>
      </c>
      <c r="B94">
        <f>C94/1.2</f>
        <v>51.25</v>
      </c>
      <c r="C94">
        <f>1500/500*(A94*0.001)</f>
        <v>61.5</v>
      </c>
      <c r="D94">
        <f>C94*1.05</f>
        <v>64.575</v>
      </c>
      <c r="E94">
        <f>C94*3</f>
        <v>184.5</v>
      </c>
      <c r="F94">
        <f>D94*8</f>
        <v>516.6</v>
      </c>
      <c r="G94">
        <f>F94*1.2</f>
        <v>619.92</v>
      </c>
      <c r="H94">
        <f>G94/1.012-0.2</f>
        <v>612.3691699604742</v>
      </c>
      <c r="I94">
        <f>D94*4</f>
        <v>258.3</v>
      </c>
      <c r="J94">
        <f>I94*1.2</f>
        <v>309.96</v>
      </c>
    </row>
    <row r="95">
      <c r="A95">
        <v>20750</v>
      </c>
      <c r="B95">
        <f>C95/1.2</f>
        <v>51.875</v>
      </c>
      <c r="C95">
        <f>1500/500*(A95*0.001)</f>
        <v>62.25</v>
      </c>
      <c r="D95">
        <f>C95*1.05</f>
        <v>65.3625</v>
      </c>
      <c r="E95">
        <f>C95*3</f>
        <v>186.75</v>
      </c>
      <c r="F95">
        <f>D95*8</f>
        <v>522.9</v>
      </c>
      <c r="G95">
        <f>F95*1.2</f>
        <v>627.4799999999999</v>
      </c>
      <c r="H95">
        <f>G95/1.012-0.2</f>
        <v>619.8395256916995</v>
      </c>
      <c r="I95">
        <f>D95*4</f>
        <v>261.45</v>
      </c>
      <c r="J95">
        <f>I95*1.2</f>
        <v>313.73999999999995</v>
      </c>
    </row>
    <row r="96">
      <c r="A96">
        <v>21000</v>
      </c>
      <c r="B96">
        <f>C96/1.2</f>
        <v>52.5</v>
      </c>
      <c r="C96">
        <f>1500/500*(A96*0.001)</f>
        <v>63</v>
      </c>
      <c r="D96">
        <f>C96*1.05</f>
        <v>66.15</v>
      </c>
      <c r="E96">
        <f>C96*3</f>
        <v>189</v>
      </c>
      <c r="F96">
        <f>D96*8</f>
        <v>529.2</v>
      </c>
      <c r="G96">
        <f>F96*1.2</f>
        <v>635.0400000000001</v>
      </c>
      <c r="H96">
        <f>G96/1.012-0.2</f>
        <v>627.309881422925</v>
      </c>
      <c r="I96">
        <f>D96*4</f>
        <v>264.6</v>
      </c>
      <c r="J96">
        <f>I96*1.2</f>
        <v>317.52000000000004</v>
      </c>
    </row>
    <row r="97">
      <c r="A97">
        <v>21250</v>
      </c>
      <c r="B97">
        <f>C97/1.2</f>
        <v>53.125</v>
      </c>
      <c r="C97">
        <f>1500/500*(A97*0.001)</f>
        <v>63.75</v>
      </c>
      <c r="D97">
        <f>C97*1.05</f>
        <v>66.9375</v>
      </c>
      <c r="E97">
        <f>C97*3</f>
        <v>191.25</v>
      </c>
      <c r="F97">
        <f>D97*8</f>
        <v>535.5</v>
      </c>
      <c r="G97">
        <f>F97*1.2</f>
        <v>642.6</v>
      </c>
      <c r="H97">
        <f>G97/1.012-0.2</f>
        <v>634.7802371541502</v>
      </c>
      <c r="I97">
        <f>D97*4</f>
        <v>267.75</v>
      </c>
      <c r="J97">
        <f>I97*1.2</f>
        <v>321.3</v>
      </c>
    </row>
    <row r="98">
      <c r="A98">
        <v>21500</v>
      </c>
      <c r="B98">
        <f>C98/1.2</f>
        <v>53.75</v>
      </c>
      <c r="C98">
        <f>1500/500*(A98*0.001)</f>
        <v>64.5</v>
      </c>
      <c r="D98">
        <f>C98*1.05</f>
        <v>67.72500000000001</v>
      </c>
      <c r="E98">
        <f>C98*3</f>
        <v>193.5</v>
      </c>
      <c r="F98">
        <f>D98*8</f>
        <v>541.8000000000001</v>
      </c>
      <c r="G98">
        <f>F98*1.2</f>
        <v>650.1600000000001</v>
      </c>
      <c r="H98">
        <f>G98/1.012-0.2</f>
        <v>642.2505928853756</v>
      </c>
      <c r="I98">
        <f>D98*4</f>
        <v>270.90000000000003</v>
      </c>
      <c r="J98">
        <f>I98*1.2</f>
        <v>325.08000000000004</v>
      </c>
    </row>
    <row r="99">
      <c r="A99">
        <v>21750</v>
      </c>
      <c r="B99">
        <f>C99/1.2</f>
        <v>54.375</v>
      </c>
      <c r="C99">
        <f>1500/500*(A99*0.001)</f>
        <v>65.25</v>
      </c>
      <c r="D99">
        <f>C99*1.05</f>
        <v>68.5125</v>
      </c>
      <c r="E99">
        <f>C99*3</f>
        <v>195.75</v>
      </c>
      <c r="F99">
        <f>D99*8</f>
        <v>548.1</v>
      </c>
      <c r="G99">
        <f>F99*1.2</f>
        <v>657.72</v>
      </c>
      <c r="H99">
        <f>G99/1.012-0.2</f>
        <v>649.7209486166008</v>
      </c>
      <c r="I99">
        <f>D99*4</f>
        <v>274.05</v>
      </c>
      <c r="J99">
        <f>I99*1.2</f>
        <v>328.86</v>
      </c>
    </row>
    <row r="100">
      <c r="A100">
        <v>22000</v>
      </c>
      <c r="B100">
        <f>C100/1.2</f>
        <v>55</v>
      </c>
      <c r="C100">
        <f>1500/500*(A100*0.001)</f>
        <v>66</v>
      </c>
      <c r="D100">
        <f>C100*1.05</f>
        <v>69.3</v>
      </c>
      <c r="E100">
        <f>C100*3</f>
        <v>198</v>
      </c>
      <c r="F100">
        <f>D100*8</f>
        <v>554.4</v>
      </c>
      <c r="G100">
        <f>F100*1.2</f>
        <v>665.28</v>
      </c>
      <c r="H100">
        <f>G100/1.012-0.2</f>
        <v>657.191304347826</v>
      </c>
      <c r="I100">
        <f>D100*4</f>
        <v>277.2</v>
      </c>
      <c r="J100">
        <f>I100*1.2</f>
        <v>332.64</v>
      </c>
    </row>
    <row r="101">
      <c r="A101">
        <v>22250</v>
      </c>
      <c r="B101">
        <f>C101/1.2</f>
        <v>55.625</v>
      </c>
      <c r="C101">
        <f>1500/500*(A101*0.001)</f>
        <v>66.75</v>
      </c>
      <c r="D101">
        <f>C101*1.05</f>
        <v>70.0875</v>
      </c>
      <c r="E101">
        <f>C101*3</f>
        <v>200.25</v>
      </c>
      <c r="F101">
        <f>D101*8</f>
        <v>560.7</v>
      </c>
      <c r="G101">
        <f>F101*1.2</f>
        <v>672.84</v>
      </c>
      <c r="H101">
        <f>G101/1.012-0.2</f>
        <v>664.6616600790513</v>
      </c>
      <c r="I101">
        <f>D101*4</f>
        <v>280.35</v>
      </c>
      <c r="J101">
        <f>I101*1.2</f>
        <v>336.42</v>
      </c>
    </row>
    <row r="102">
      <c r="A102">
        <v>22500</v>
      </c>
      <c r="B102">
        <f>C102/1.2</f>
        <v>56.25</v>
      </c>
      <c r="C102">
        <f>1500/500*(A102*0.001)</f>
        <v>67.5</v>
      </c>
      <c r="D102">
        <f>C102*1.05</f>
        <v>70.875</v>
      </c>
      <c r="E102">
        <f>C102*3</f>
        <v>202.5</v>
      </c>
      <c r="F102">
        <f>D102*8</f>
        <v>567</v>
      </c>
      <c r="G102">
        <f>F102*1.2</f>
        <v>680.4</v>
      </c>
      <c r="H102">
        <f>G102/1.012-0.2</f>
        <v>672.1320158102766</v>
      </c>
      <c r="I102">
        <f>D102*4</f>
        <v>283.5</v>
      </c>
      <c r="J102">
        <f>I102*1.2</f>
        <v>340.2</v>
      </c>
    </row>
    <row r="103">
      <c r="A103">
        <v>22750</v>
      </c>
      <c r="B103">
        <f>C103/1.2</f>
        <v>56.875</v>
      </c>
      <c r="C103">
        <f>1500/500*(A103*0.001)</f>
        <v>68.25</v>
      </c>
      <c r="D103">
        <f>C103*1.05</f>
        <v>71.66250000000001</v>
      </c>
      <c r="E103">
        <f>C103*3</f>
        <v>204.75</v>
      </c>
      <c r="F103">
        <f>D103*8</f>
        <v>573.3000000000001</v>
      </c>
      <c r="G103">
        <f>F103*1.2</f>
        <v>687.96</v>
      </c>
      <c r="H103">
        <f>G103/1.012-0.2</f>
        <v>679.602371541502</v>
      </c>
      <c r="I103">
        <f>D103*4</f>
        <v>286.65000000000003</v>
      </c>
      <c r="J103">
        <f>I103*1.2</f>
        <v>343.98</v>
      </c>
    </row>
    <row r="104">
      <c r="A104">
        <v>23000</v>
      </c>
      <c r="B104">
        <f>C104/1.2</f>
        <v>57.5</v>
      </c>
      <c r="C104">
        <f>1500/500*(A104*0.001)</f>
        <v>69</v>
      </c>
      <c r="D104">
        <f>C104*1.05</f>
        <v>72.45</v>
      </c>
      <c r="E104">
        <f>C104*3</f>
        <v>207</v>
      </c>
      <c r="F104">
        <f>D104*8</f>
        <v>579.6</v>
      </c>
      <c r="G104">
        <f>F104*1.2</f>
        <v>695.52</v>
      </c>
      <c r="H104">
        <f>G104/1.012-0.2</f>
        <v>687.0727272727272</v>
      </c>
      <c r="I104">
        <f>D104*4</f>
        <v>289.8</v>
      </c>
      <c r="J104">
        <f>I104*1.2</f>
        <v>347.76</v>
      </c>
    </row>
    <row r="105">
      <c r="A105">
        <v>23250</v>
      </c>
      <c r="B105">
        <f>C105/1.2</f>
        <v>58.125</v>
      </c>
      <c r="C105">
        <f>1500/500*(A105*0.001)</f>
        <v>69.75</v>
      </c>
      <c r="D105">
        <f>C105*1.05</f>
        <v>73.2375</v>
      </c>
      <c r="E105">
        <f>C105*3</f>
        <v>209.25</v>
      </c>
      <c r="F105">
        <f>D105*8</f>
        <v>585.9</v>
      </c>
      <c r="G105">
        <f>F105*1.2</f>
        <v>703.0799999999999</v>
      </c>
      <c r="H105">
        <f>G105/1.012-0.2</f>
        <v>694.5430830039525</v>
      </c>
      <c r="I105">
        <f>D105*4</f>
        <v>292.95</v>
      </c>
      <c r="J105">
        <f>I105*1.2</f>
        <v>351.53999999999996</v>
      </c>
    </row>
    <row r="106">
      <c r="A106">
        <v>23500</v>
      </c>
      <c r="B106">
        <f>C106/1.2</f>
        <v>58.75</v>
      </c>
      <c r="C106">
        <f>1500/500*(A106*0.001)</f>
        <v>70.5</v>
      </c>
      <c r="D106">
        <f>C106*1.05</f>
        <v>74.025</v>
      </c>
      <c r="E106">
        <f>C106*3</f>
        <v>211.5</v>
      </c>
      <c r="F106">
        <f>D106*8</f>
        <v>592.2</v>
      </c>
      <c r="G106">
        <f>F106*1.2</f>
        <v>710.64</v>
      </c>
      <c r="H106">
        <f>G106/1.012-0.2</f>
        <v>702.0134387351778</v>
      </c>
      <c r="I106">
        <f>D106*4</f>
        <v>296.1</v>
      </c>
      <c r="J106">
        <f>I106*1.2</f>
        <v>355.32</v>
      </c>
    </row>
    <row r="107">
      <c r="A107">
        <v>23750</v>
      </c>
      <c r="B107">
        <f>C107/1.2</f>
        <v>59.375</v>
      </c>
      <c r="C107">
        <f>1500/500*(A107*0.001)</f>
        <v>71.25</v>
      </c>
      <c r="D107">
        <f>C107*1.05</f>
        <v>74.8125</v>
      </c>
      <c r="E107">
        <f>C107*3</f>
        <v>213.75</v>
      </c>
      <c r="F107">
        <f>D107*8</f>
        <v>598.5</v>
      </c>
      <c r="G107">
        <f>F107*1.2</f>
        <v>718.1999999999999</v>
      </c>
      <c r="H107">
        <f>G107/1.012-0.2</f>
        <v>709.4837944664031</v>
      </c>
      <c r="I107">
        <f>D107*4</f>
        <v>299.25</v>
      </c>
      <c r="J107">
        <f>I107*1.2</f>
        <v>359.09999999999997</v>
      </c>
    </row>
    <row r="108">
      <c r="A108">
        <v>24000</v>
      </c>
      <c r="B108">
        <f>C108/1.2</f>
        <v>60</v>
      </c>
      <c r="C108">
        <f>1500/500*(A108*0.001)</f>
        <v>72</v>
      </c>
      <c r="D108">
        <f>C108*1.05</f>
        <v>75.60000000000001</v>
      </c>
      <c r="E108">
        <f>C108*3</f>
        <v>216</v>
      </c>
      <c r="F108">
        <f>D108*8</f>
        <v>604.8000000000001</v>
      </c>
      <c r="G108">
        <f>F108*1.2</f>
        <v>725.7600000000001</v>
      </c>
      <c r="H108">
        <f>G108/1.012-0.2</f>
        <v>716.9541501976286</v>
      </c>
      <c r="I108">
        <f>D108*4</f>
        <v>302.40000000000003</v>
      </c>
      <c r="J108">
        <f>I108*1.2</f>
        <v>362.88000000000005</v>
      </c>
    </row>
    <row r="109">
      <c r="A109">
        <v>24250</v>
      </c>
      <c r="B109">
        <f>C109/1.2</f>
        <v>60.625</v>
      </c>
      <c r="C109">
        <f>1500/500*(A109*0.001)</f>
        <v>72.75</v>
      </c>
      <c r="D109">
        <f>C109*1.05</f>
        <v>76.3875</v>
      </c>
      <c r="E109">
        <f>C109*3</f>
        <v>218.25</v>
      </c>
      <c r="F109">
        <f>D109*8</f>
        <v>611.1</v>
      </c>
      <c r="G109">
        <f>F109*1.2</f>
        <v>733.32</v>
      </c>
      <c r="H109">
        <f>G109/1.012-0.2</f>
        <v>724.4245059288537</v>
      </c>
      <c r="I109">
        <f>D109*4</f>
        <v>305.55</v>
      </c>
      <c r="J109">
        <f>I109*1.2</f>
        <v>366.66</v>
      </c>
    </row>
    <row r="110">
      <c r="A110">
        <v>24500</v>
      </c>
      <c r="B110">
        <f>C110/1.2</f>
        <v>61.25</v>
      </c>
      <c r="C110">
        <f>1500/500*(A110*0.001)</f>
        <v>73.5</v>
      </c>
      <c r="D110">
        <f>C110*1.05</f>
        <v>77.175</v>
      </c>
      <c r="E110">
        <f>C110*3</f>
        <v>220.5</v>
      </c>
      <c r="F110">
        <f>D110*8</f>
        <v>617.4</v>
      </c>
      <c r="G110">
        <f>F110*1.2</f>
        <v>740.88</v>
      </c>
      <c r="H110">
        <f>G110/1.012-0.2</f>
        <v>731.894861660079</v>
      </c>
      <c r="I110">
        <f>D110*4</f>
        <v>308.7</v>
      </c>
      <c r="J110">
        <f>I110*1.2</f>
        <v>370.44</v>
      </c>
    </row>
    <row r="111">
      <c r="A111">
        <v>24750</v>
      </c>
      <c r="B111">
        <f>C111/1.2</f>
        <v>61.875</v>
      </c>
      <c r="C111">
        <f>1500/500*(A111*0.001)</f>
        <v>74.25</v>
      </c>
      <c r="D111">
        <f>C111*1.05</f>
        <v>77.9625</v>
      </c>
      <c r="E111">
        <f>C111*3</f>
        <v>222.75</v>
      </c>
      <c r="F111">
        <f>D111*8</f>
        <v>623.7</v>
      </c>
      <c r="G111">
        <f>F111*1.2</f>
        <v>748.44</v>
      </c>
      <c r="H111">
        <f>G111/1.012-0.2</f>
        <v>739.3652173913043</v>
      </c>
      <c r="I111">
        <f>D111*4</f>
        <v>311.85</v>
      </c>
      <c r="J111">
        <f>I111*1.2</f>
        <v>374.22</v>
      </c>
    </row>
    <row r="112">
      <c r="A112">
        <v>25000</v>
      </c>
      <c r="B112">
        <f>C112/1.2</f>
        <v>62.5</v>
      </c>
      <c r="C112">
        <f>1500/500*(A112*0.001)</f>
        <v>75</v>
      </c>
      <c r="D112">
        <f>C112*1.05</f>
        <v>78.75</v>
      </c>
      <c r="E112">
        <f>C112*3</f>
        <v>225</v>
      </c>
      <c r="F112">
        <f>D112*8</f>
        <v>630</v>
      </c>
      <c r="G112">
        <f>F112*1.2</f>
        <v>756</v>
      </c>
      <c r="H112">
        <f>G112/1.012-0.2</f>
        <v>746.8355731225296</v>
      </c>
      <c r="I112">
        <f>D112*4</f>
        <v>315</v>
      </c>
      <c r="J112">
        <f>I112*1.2</f>
        <v>378</v>
      </c>
    </row>
    <row r="113">
      <c r="A113">
        <v>25250</v>
      </c>
      <c r="B113">
        <f>C113/1.2</f>
        <v>63.125</v>
      </c>
      <c r="C113">
        <f>1500/500*(A113*0.001)</f>
        <v>75.75</v>
      </c>
      <c r="D113">
        <f>C113*1.05</f>
        <v>79.53750000000001</v>
      </c>
      <c r="E113">
        <f>C113*3</f>
        <v>227.25</v>
      </c>
      <c r="F113">
        <f>D113*8</f>
        <v>636.3000000000001</v>
      </c>
      <c r="G113">
        <f>F113*1.2</f>
        <v>763.5600000000001</v>
      </c>
      <c r="H113">
        <f>G113/1.012-0.2</f>
        <v>754.305928853755</v>
      </c>
      <c r="I113">
        <f>D113*4</f>
        <v>318.15000000000003</v>
      </c>
      <c r="J113">
        <f>I113*1.2</f>
        <v>381.78000000000003</v>
      </c>
    </row>
    <row r="114">
      <c r="A114">
        <v>25500</v>
      </c>
      <c r="B114">
        <f>C114/1.2</f>
        <v>63.75</v>
      </c>
      <c r="C114">
        <f>1500/500*(A114*0.001)</f>
        <v>76.5</v>
      </c>
      <c r="D114">
        <f>C114*1.05</f>
        <v>80.325</v>
      </c>
      <c r="E114">
        <f>C114*3</f>
        <v>229.5</v>
      </c>
      <c r="F114">
        <f>D114*8</f>
        <v>642.6</v>
      </c>
      <c r="G114">
        <f>F114*1.2</f>
        <v>771.12</v>
      </c>
      <c r="H114">
        <f>G114/1.012-0.2</f>
        <v>761.7762845849802</v>
      </c>
      <c r="I114">
        <f>D114*4</f>
        <v>321.3</v>
      </c>
      <c r="J114">
        <f>I114*1.2</f>
        <v>385.56</v>
      </c>
    </row>
    <row r="115">
      <c r="A115">
        <v>25750</v>
      </c>
      <c r="B115">
        <f>C115/1.2</f>
        <v>64.375</v>
      </c>
      <c r="C115">
        <f>1500/500*(A115*0.001)</f>
        <v>77.25</v>
      </c>
      <c r="D115">
        <f>C115*1.05</f>
        <v>81.1125</v>
      </c>
      <c r="E115">
        <f>C115*3</f>
        <v>231.75</v>
      </c>
      <c r="F115">
        <f>D115*8</f>
        <v>648.9</v>
      </c>
      <c r="G115">
        <f>F115*1.2</f>
        <v>778.68</v>
      </c>
      <c r="H115">
        <f>G115/1.012-0.2</f>
        <v>769.2466403162055</v>
      </c>
      <c r="I115">
        <f>D115*4</f>
        <v>324.45</v>
      </c>
      <c r="J115">
        <f>I115*1.2</f>
        <v>389.34</v>
      </c>
    </row>
    <row r="116">
      <c r="A116">
        <v>26000</v>
      </c>
      <c r="B116">
        <f>C116/1.2</f>
        <v>65</v>
      </c>
      <c r="C116">
        <f>1500/500*(A116*0.001)</f>
        <v>78</v>
      </c>
      <c r="D116">
        <f>C116*1.05</f>
        <v>81.9</v>
      </c>
      <c r="E116">
        <f>C116*3</f>
        <v>234</v>
      </c>
      <c r="F116">
        <f>D116*8</f>
        <v>655.2</v>
      </c>
      <c r="G116">
        <f>F116*1.2</f>
        <v>786.24</v>
      </c>
      <c r="H116">
        <f>G116/1.012-0.2</f>
        <v>776.7169960474308</v>
      </c>
      <c r="I116">
        <f>D116*4</f>
        <v>327.6</v>
      </c>
      <c r="J116">
        <f>I116*1.2</f>
        <v>393.12</v>
      </c>
    </row>
    <row r="117">
      <c r="A117">
        <v>26250</v>
      </c>
      <c r="B117">
        <f>C117/1.2</f>
        <v>65.625</v>
      </c>
      <c r="C117">
        <f>1500/500*(A117*0.001)</f>
        <v>78.75</v>
      </c>
      <c r="D117">
        <f>C117*1.05</f>
        <v>82.6875</v>
      </c>
      <c r="E117">
        <f>C117*3</f>
        <v>236.25</v>
      </c>
      <c r="F117">
        <f>D117*8</f>
        <v>661.5</v>
      </c>
      <c r="G117">
        <f>F117*1.2</f>
        <v>793.8</v>
      </c>
      <c r="H117">
        <f>G117/1.012-0.2</f>
        <v>784.1873517786561</v>
      </c>
      <c r="I117">
        <f>D117*4</f>
        <v>330.75</v>
      </c>
      <c r="J117">
        <f>I117*1.2</f>
        <v>396.9</v>
      </c>
    </row>
    <row r="118">
      <c r="A118">
        <v>26500</v>
      </c>
      <c r="B118">
        <f>C118/1.2</f>
        <v>66.25</v>
      </c>
      <c r="C118">
        <f>1500/500*(A118*0.001)</f>
        <v>79.5</v>
      </c>
      <c r="D118">
        <f>C118*1.05</f>
        <v>83.47500000000001</v>
      </c>
      <c r="E118">
        <f>C118*3</f>
        <v>238.5</v>
      </c>
      <c r="F118">
        <f>D118*8</f>
        <v>667.8000000000001</v>
      </c>
      <c r="G118">
        <f>F118*1.2</f>
        <v>801.36</v>
      </c>
      <c r="H118">
        <f>G118/1.012-0.2</f>
        <v>791.6577075098813</v>
      </c>
      <c r="I118">
        <f>D118*4</f>
        <v>333.90000000000003</v>
      </c>
      <c r="J118">
        <f>I118*1.2</f>
        <v>400.68</v>
      </c>
    </row>
    <row r="119">
      <c r="A119">
        <v>26750</v>
      </c>
      <c r="B119">
        <f>C119/1.2</f>
        <v>66.875</v>
      </c>
      <c r="C119">
        <f>1500/500*(A119*0.001)</f>
        <v>80.25</v>
      </c>
      <c r="D119">
        <f>C119*1.05</f>
        <v>84.2625</v>
      </c>
      <c r="E119">
        <f>C119*3</f>
        <v>240.75</v>
      </c>
      <c r="F119">
        <f>D119*8</f>
        <v>674.1</v>
      </c>
      <c r="G119">
        <f>F119*1.2</f>
        <v>808.92</v>
      </c>
      <c r="H119">
        <f>G119/1.012-0.2</f>
        <v>799.1280632411066</v>
      </c>
      <c r="I119">
        <f>D119*4</f>
        <v>337.05</v>
      </c>
      <c r="J119">
        <f>I119*1.2</f>
        <v>404.46</v>
      </c>
    </row>
    <row r="120">
      <c r="A120">
        <v>27000</v>
      </c>
      <c r="B120">
        <f>C120/1.2</f>
        <v>67.5</v>
      </c>
      <c r="C120">
        <f>1500/500*(A120*0.001)</f>
        <v>81</v>
      </c>
      <c r="D120">
        <f>C120*1.05</f>
        <v>85.05</v>
      </c>
      <c r="E120">
        <f>C120*3</f>
        <v>243</v>
      </c>
      <c r="F120">
        <f>D120*8</f>
        <v>680.4</v>
      </c>
      <c r="G120">
        <f>F120*1.2</f>
        <v>816.4799999999999</v>
      </c>
      <c r="H120">
        <f>G120/1.012-0.2</f>
        <v>806.5984189723318</v>
      </c>
      <c r="I120">
        <f>D120*4</f>
        <v>340.2</v>
      </c>
      <c r="J120">
        <f>I120*1.2</f>
        <v>408.23999999999995</v>
      </c>
    </row>
    <row r="121">
      <c r="A121">
        <v>27250</v>
      </c>
      <c r="B121">
        <f>C121/1.2</f>
        <v>68.125</v>
      </c>
      <c r="C121">
        <f>1500/500*(A121*0.001)</f>
        <v>81.75</v>
      </c>
      <c r="D121">
        <f>C121*1.05</f>
        <v>85.8375</v>
      </c>
      <c r="E121">
        <f>C121*3</f>
        <v>245.25</v>
      </c>
      <c r="F121">
        <f>D121*8</f>
        <v>686.7</v>
      </c>
      <c r="G121">
        <f>F121*1.2</f>
        <v>824.0400000000001</v>
      </c>
      <c r="H121">
        <f>G121/1.012-0.2</f>
        <v>814.0687747035573</v>
      </c>
      <c r="I121">
        <f>D121*4</f>
        <v>343.35</v>
      </c>
      <c r="J121">
        <f>I121*1.2</f>
        <v>412.02000000000004</v>
      </c>
    </row>
    <row r="122">
      <c r="A122">
        <v>27500</v>
      </c>
      <c r="B122">
        <f>C122/1.2</f>
        <v>68.75</v>
      </c>
      <c r="C122">
        <f>1500/500*(A122*0.001)</f>
        <v>82.5</v>
      </c>
      <c r="D122">
        <f>C122*1.05</f>
        <v>86.625</v>
      </c>
      <c r="E122">
        <f>C122*3</f>
        <v>247.5</v>
      </c>
      <c r="F122">
        <f>D122*8</f>
        <v>693</v>
      </c>
      <c r="G122">
        <f>F122*1.2</f>
        <v>831.6</v>
      </c>
      <c r="H122">
        <f>G122/1.012-0.2</f>
        <v>821.5391304347826</v>
      </c>
      <c r="I122">
        <f>D122*4</f>
        <v>346.5</v>
      </c>
      <c r="J122">
        <f>I122*1.2</f>
        <v>415.8</v>
      </c>
    </row>
    <row r="123">
      <c r="A123">
        <v>27750</v>
      </c>
      <c r="B123">
        <f>C123/1.2</f>
        <v>69.375</v>
      </c>
      <c r="C123">
        <f>1500/500*(A123*0.001)</f>
        <v>83.25</v>
      </c>
      <c r="D123">
        <f>C123*1.05</f>
        <v>87.41250000000001</v>
      </c>
      <c r="E123">
        <f>C123*3</f>
        <v>249.75</v>
      </c>
      <c r="F123">
        <f>D123*8</f>
        <v>699.3000000000001</v>
      </c>
      <c r="G123">
        <f>F123*1.2</f>
        <v>839.1600000000001</v>
      </c>
      <c r="H123">
        <f>G123/1.012-0.2</f>
        <v>829.009486166008</v>
      </c>
      <c r="I123">
        <f>D123*4</f>
        <v>349.65000000000003</v>
      </c>
      <c r="J123">
        <f>I123*1.2</f>
        <v>419.58000000000004</v>
      </c>
    </row>
    <row r="124">
      <c r="A124">
        <v>28000</v>
      </c>
      <c r="B124">
        <f>C124/1.2</f>
        <v>70</v>
      </c>
      <c r="C124">
        <f>1500/500*(A124*0.001)</f>
        <v>84</v>
      </c>
      <c r="D124">
        <f>C124*1.05</f>
        <v>88.2</v>
      </c>
      <c r="E124">
        <f>C124*3</f>
        <v>252</v>
      </c>
      <c r="F124">
        <f>D124*8</f>
        <v>705.6</v>
      </c>
      <c r="G124">
        <f>F124*1.2</f>
        <v>846.72</v>
      </c>
      <c r="H124">
        <f>G124/1.012-0.2</f>
        <v>836.4798418972332</v>
      </c>
      <c r="I124">
        <f>D124*4</f>
        <v>352.8</v>
      </c>
      <c r="J124">
        <f>I124*1.2</f>
        <v>423.36</v>
      </c>
    </row>
    <row r="125">
      <c r="A125">
        <v>28250</v>
      </c>
      <c r="B125">
        <f>C125/1.2</f>
        <v>70.625</v>
      </c>
      <c r="C125">
        <f>1500/500*(A125*0.001)</f>
        <v>84.75</v>
      </c>
      <c r="D125">
        <f>C125*1.05</f>
        <v>88.9875</v>
      </c>
      <c r="E125">
        <f>C125*3</f>
        <v>254.25</v>
      </c>
      <c r="F125">
        <f>D125*8</f>
        <v>711.9</v>
      </c>
      <c r="G125">
        <f>F125*1.2</f>
        <v>854.28</v>
      </c>
      <c r="H125">
        <f>G125/1.012-0.2</f>
        <v>843.9501976284585</v>
      </c>
      <c r="I125">
        <f>D125*4</f>
        <v>355.95</v>
      </c>
      <c r="J125">
        <f>I125*1.2</f>
        <v>427.14</v>
      </c>
    </row>
    <row r="126">
      <c r="A126">
        <v>28500</v>
      </c>
      <c r="B126">
        <f>C126/1.2</f>
        <v>71.25</v>
      </c>
      <c r="C126">
        <f>1500/500*(A126*0.001)</f>
        <v>85.5</v>
      </c>
      <c r="D126">
        <f>C126*1.05</f>
        <v>89.775</v>
      </c>
      <c r="E126">
        <f>C126*3</f>
        <v>256.5</v>
      </c>
      <c r="F126">
        <f>D126*8</f>
        <v>718.2</v>
      </c>
      <c r="G126">
        <f>F126*1.2</f>
        <v>861.84</v>
      </c>
      <c r="H126">
        <f>G126/1.012-0.2</f>
        <v>851.4205533596838</v>
      </c>
      <c r="I126">
        <f>D126*4</f>
        <v>359.1</v>
      </c>
      <c r="J126">
        <f>I126*1.2</f>
        <v>430.92</v>
      </c>
    </row>
    <row r="127">
      <c r="A127">
        <v>28750</v>
      </c>
      <c r="B127">
        <f>C127/1.2</f>
        <v>71.875</v>
      </c>
      <c r="C127">
        <f>1500/500*(A127*0.001)</f>
        <v>86.25</v>
      </c>
      <c r="D127">
        <f>C127*1.05</f>
        <v>90.5625</v>
      </c>
      <c r="E127">
        <f>C127*3</f>
        <v>258.75</v>
      </c>
      <c r="F127">
        <f>D127*8</f>
        <v>724.5</v>
      </c>
      <c r="G127">
        <f>F127*1.2</f>
        <v>869.4</v>
      </c>
      <c r="H127">
        <f>G127/1.012-0.2</f>
        <v>858.890909090909</v>
      </c>
      <c r="I127">
        <f>D127*4</f>
        <v>362.25</v>
      </c>
      <c r="J127">
        <f>I127*1.2</f>
        <v>434.7</v>
      </c>
    </row>
    <row r="128">
      <c r="A128">
        <v>29000</v>
      </c>
      <c r="B128">
        <f>C128/1.2</f>
        <v>72.5</v>
      </c>
      <c r="C128">
        <f>1500/500*(A128*0.001)</f>
        <v>87</v>
      </c>
      <c r="D128">
        <f>C128*1.05</f>
        <v>91.35000000000001</v>
      </c>
      <c r="E128">
        <f>C128*3</f>
        <v>261</v>
      </c>
      <c r="F128">
        <f>D128*8</f>
        <v>730.8000000000001</v>
      </c>
      <c r="G128">
        <f>F128*1.2</f>
        <v>876.96</v>
      </c>
      <c r="H128">
        <f>G128/1.012-0.2</f>
        <v>866.3612648221343</v>
      </c>
      <c r="I128">
        <f>D128*4</f>
        <v>365.40000000000003</v>
      </c>
      <c r="J128">
        <f>I128*1.2</f>
        <v>438.48</v>
      </c>
    </row>
    <row r="129">
      <c r="A129">
        <v>29250</v>
      </c>
      <c r="B129">
        <f>C129/1.2</f>
        <v>73.125</v>
      </c>
      <c r="C129">
        <f>1500/500*(A129*0.001)</f>
        <v>87.75</v>
      </c>
      <c r="D129">
        <f>C129*1.05</f>
        <v>92.1375</v>
      </c>
      <c r="E129">
        <f>C129*3</f>
        <v>263.25</v>
      </c>
      <c r="F129">
        <f>D129*8</f>
        <v>737.1</v>
      </c>
      <c r="G129">
        <f>F129*1.2</f>
        <v>884.52</v>
      </c>
      <c r="H129">
        <f>G129/1.012-0.2</f>
        <v>873.8316205533596</v>
      </c>
      <c r="I129">
        <f>D129*4</f>
        <v>368.55</v>
      </c>
      <c r="J129">
        <f>I129*1.2</f>
        <v>442.26</v>
      </c>
    </row>
    <row r="130">
      <c r="A130">
        <v>29500</v>
      </c>
      <c r="B130">
        <f>C130/1.2</f>
        <v>73.75</v>
      </c>
      <c r="C130">
        <f>1500/500*(A130*0.001)</f>
        <v>88.5</v>
      </c>
      <c r="D130">
        <f>C130*1.05</f>
        <v>92.925</v>
      </c>
      <c r="E130">
        <f>C130*3</f>
        <v>265.5</v>
      </c>
      <c r="F130">
        <f>D130*8</f>
        <v>743.4</v>
      </c>
      <c r="G130">
        <f>F130*1.2</f>
        <v>892.0799999999999</v>
      </c>
      <c r="H130">
        <f>G130/1.012-0.2</f>
        <v>881.3019762845848</v>
      </c>
      <c r="I130">
        <f>D130*4</f>
        <v>371.7</v>
      </c>
      <c r="J130">
        <f>I130*1.2</f>
        <v>446.03999999999996</v>
      </c>
    </row>
    <row r="131">
      <c r="A131">
        <v>29750</v>
      </c>
      <c r="B131">
        <f>C131/1.2</f>
        <v>74.375</v>
      </c>
      <c r="C131">
        <f>1500/500*(A131*0.001)</f>
        <v>89.25</v>
      </c>
      <c r="D131">
        <f>C131*1.05</f>
        <v>93.7125</v>
      </c>
      <c r="E131">
        <f>C131*3</f>
        <v>267.75</v>
      </c>
      <c r="F131">
        <f>D131*8</f>
        <v>749.7</v>
      </c>
      <c r="G131">
        <f>F131*1.2</f>
        <v>899.64</v>
      </c>
      <c r="H131">
        <f>G131/1.012-0.2</f>
        <v>888.7723320158102</v>
      </c>
      <c r="I131">
        <f>D131*4</f>
        <v>374.85</v>
      </c>
      <c r="J131">
        <f>I131*1.2</f>
        <v>449.82</v>
      </c>
    </row>
    <row r="132">
      <c r="A132">
        <v>30000</v>
      </c>
      <c r="B132">
        <f>C132/1.2</f>
        <v>75</v>
      </c>
      <c r="C132">
        <f>1500/500*(A132*0.001)</f>
        <v>90</v>
      </c>
      <c r="D132">
        <f>C132*1.05</f>
        <v>94.5</v>
      </c>
      <c r="E132">
        <f>C132*3</f>
        <v>270</v>
      </c>
      <c r="F132">
        <f>D132*8</f>
        <v>756</v>
      </c>
      <c r="G132">
        <f>F132*1.2</f>
        <v>907.1999999999999</v>
      </c>
      <c r="H132">
        <f>G132/1.012-0.2</f>
        <v>896.2426877470355</v>
      </c>
      <c r="I132">
        <f>D132*4</f>
        <v>378</v>
      </c>
      <c r="J132">
        <f>I132*1.2</f>
        <v>453.59999999999997</v>
      </c>
    </row>
  </sheetData>
  <mergeCells count="5">
    <mergeCell ref="I1:J1"/>
    <mergeCell ref="E1:E2"/>
    <mergeCell ref="B1:D1"/>
    <mergeCell ref="A1:A2"/>
    <mergeCell ref="F1:H1"/>
  </mergeCells>
  <pageMargins left="0.7" right="0.7" top="0.75" bottom="0.75" header="0.3" footer="0.3"/>
  <ignoredErrors>
    <ignoredError numberStoredAsText="1" sqref="A1:J1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42"/>
  <sheetViews>
    <sheetView workbookViewId="0" rightToLeft="0"/>
  </sheetViews>
  <sheetData>
    <row r="1">
      <c r="H1" t="str">
        <v>Particuliers</v>
      </c>
      <c r="J1" t="str">
        <v>Pro</v>
      </c>
    </row>
    <row r="2">
      <c r="A2" t="str">
        <v>Photo</v>
      </c>
      <c r="B2" t="str">
        <v>Dénomination</v>
      </c>
      <c r="C2" t="str">
        <v>ID</v>
      </c>
      <c r="D2" t="str">
        <v>Longueur (cm)</v>
      </c>
      <c r="E2" t="str">
        <v>Largeur (cm)</v>
      </c>
      <c r="F2" t="str">
        <v>Poid (g/m)</v>
      </c>
      <c r="G2" t="str">
        <v>Prix d'achat (€)</v>
      </c>
      <c r="H2" t="str">
        <v>Prix de vente HT (€)</v>
      </c>
      <c r="I2" t="str">
        <v>Prix de vente TTC (€)</v>
      </c>
      <c r="J2" t="str">
        <v>Prix de vente HT (€)2</v>
      </c>
      <c r="K2" t="str">
        <v>Prix de vente TTC (€)2</v>
      </c>
      <c r="L2" t="str">
        <v>Qty commandé</v>
      </c>
      <c r="M2" t="str">
        <v>Poid (g)</v>
      </c>
    </row>
    <row r="3">
      <c r="B3" t="str">
        <v>Bande de ragage Shark Fin XL Noir &amp; Rouge – Protection Semi-Rigide</v>
      </c>
      <c r="C3" t="str">
        <v>#000001</v>
      </c>
      <c r="D3" t="str">
        <v>NC</v>
      </c>
      <c r="E3">
        <v>11.1</v>
      </c>
      <c r="F3">
        <v>630</v>
      </c>
      <c r="G3">
        <f>XLOOKUP(F3,'Grille tarifaire import chine'!A:A,'Grille tarifaire import chine'!D:D,"",1)</f>
        <v>2.205</v>
      </c>
      <c r="H3">
        <f>XLOOKUP(F3,'Grille tarifaire import chine'!A:A,'Grille tarifaire import chine'!F:F,"",1)</f>
        <v>17.64</v>
      </c>
      <c r="I3">
        <f>XLOOKUP(F3,'Grille tarifaire import chine'!A:A,'Grille tarifaire import chine'!G:G,"",1)</f>
        <v>21.168</v>
      </c>
      <c r="J3">
        <f>XLOOKUP(F3,'Grille tarifaire import chine'!A:A,'Grille tarifaire import chine'!I:I,"",1)</f>
        <v>8.82</v>
      </c>
      <c r="K3">
        <f>XLOOKUP(F3,'Grille tarifaire import chine'!A:A,'Grille tarifaire import chine'!J:J,"",1)</f>
        <v>10.584</v>
      </c>
      <c r="L3">
        <v>100</v>
      </c>
      <c r="M3">
        <f>Tableau1[[#This Row],[Qty commandé]]*Tableau1[[#This Row],[Poid (g/m)]]/1000</f>
        <v>63</v>
      </c>
    </row>
    <row r="4">
      <c r="B4" t="str">
        <v xml:space="preserve">Bande de ragage Shark Fin Noir &amp; Rouge – Protection Semi-Rigide </v>
      </c>
      <c r="C4" t="str">
        <v>#000002</v>
      </c>
      <c r="D4" t="str">
        <v>NC</v>
      </c>
      <c r="E4">
        <v>7.9</v>
      </c>
      <c r="F4">
        <v>410</v>
      </c>
      <c r="G4">
        <f>XLOOKUP(F4,'Grille tarifaire import chine'!A:A,'Grille tarifaire import chine'!D:D,"",1)</f>
        <v>1.5750000000000002</v>
      </c>
      <c r="H4">
        <f>XLOOKUP(F4,'Grille tarifaire import chine'!A:A,'Grille tarifaire import chine'!F:F,"",1)</f>
        <v>12.600000000000001</v>
      </c>
      <c r="I4">
        <f>XLOOKUP(F4,'Grille tarifaire import chine'!A:A,'Grille tarifaire import chine'!G:G,"",1)</f>
        <v>15.120000000000001</v>
      </c>
      <c r="J4">
        <f>XLOOKUP(F4,'Grille tarifaire import chine'!A:A,'Grille tarifaire import chine'!I:I,"",1)</f>
        <v>6.300000000000001</v>
      </c>
      <c r="K4">
        <f>XLOOKUP(F4,'Grille tarifaire import chine'!A:A,'Grille tarifaire import chine'!J:J,"",1)</f>
        <v>7.5600000000000005</v>
      </c>
      <c r="L4">
        <v>100</v>
      </c>
      <c r="M4">
        <f>Tableau1[[#This Row],[Qty commandé]]*Tableau1[[#This Row],[Poid (g/m)]]/1000</f>
        <v>41</v>
      </c>
    </row>
    <row r="5">
      <c r="B5" t="str">
        <v xml:space="preserve">Bande de ragage L Gris &amp; Blanc – Protection Boudin Semi-Rigide </v>
      </c>
      <c r="C5" t="str">
        <v>#000003</v>
      </c>
      <c r="D5" t="str">
        <v>NC</v>
      </c>
      <c r="E5">
        <v>7.7</v>
      </c>
      <c r="F5">
        <v>360</v>
      </c>
      <c r="G5">
        <f>XLOOKUP(F5,'Grille tarifaire import chine'!A:A,'Grille tarifaire import chine'!D:D,"",1)</f>
        <v>1.2600000000000002</v>
      </c>
      <c r="H5">
        <f>XLOOKUP(F5,'Grille tarifaire import chine'!A:A,'Grille tarifaire import chine'!F:F,"",1)</f>
        <v>10.080000000000002</v>
      </c>
      <c r="I5">
        <f>XLOOKUP(F5,'Grille tarifaire import chine'!A:A,'Grille tarifaire import chine'!G:G,"",1)</f>
        <v>12.096000000000002</v>
      </c>
      <c r="J5">
        <f>XLOOKUP(F5,'Grille tarifaire import chine'!A:A,'Grille tarifaire import chine'!I:I,"",1)</f>
        <v>5.040000000000001</v>
      </c>
      <c r="K5">
        <f>XLOOKUP(F5,'Grille tarifaire import chine'!A:A,'Grille tarifaire import chine'!J:J,"",1)</f>
        <v>6.048000000000001</v>
      </c>
      <c r="L5">
        <v>100</v>
      </c>
      <c r="M5">
        <f>Tableau1[[#This Row],[Qty commandé]]*Tableau1[[#This Row],[Poid (g/m)]]/1000</f>
        <v>36</v>
      </c>
    </row>
    <row r="6">
      <c r="B6" t="str">
        <v xml:space="preserve">Bande de ragage L Blanc &amp; Bleu – Protection Boudin Semi-Rigide </v>
      </c>
      <c r="C6" t="str">
        <v>#000004</v>
      </c>
      <c r="D6" t="str">
        <v>NC</v>
      </c>
      <c r="E6">
        <v>7.9</v>
      </c>
      <c r="F6">
        <v>400</v>
      </c>
      <c r="G6">
        <f>XLOOKUP(F6,'Grille tarifaire import chine'!A:A,'Grille tarifaire import chine'!D:D,"",1)</f>
        <v>1.2600000000000002</v>
      </c>
      <c r="H6">
        <f>XLOOKUP(F6,'Grille tarifaire import chine'!A:A,'Grille tarifaire import chine'!F:F,"",1)</f>
        <v>10.080000000000002</v>
      </c>
      <c r="I6">
        <f>XLOOKUP(F6,'Grille tarifaire import chine'!A:A,'Grille tarifaire import chine'!G:G,"",1)</f>
        <v>12.096000000000002</v>
      </c>
      <c r="J6">
        <f>XLOOKUP(F6,'Grille tarifaire import chine'!A:A,'Grille tarifaire import chine'!I:I,"",1)</f>
        <v>5.040000000000001</v>
      </c>
      <c r="K6">
        <f>XLOOKUP(F6,'Grille tarifaire import chine'!A:A,'Grille tarifaire import chine'!J:J,"",1)</f>
        <v>6.048000000000001</v>
      </c>
      <c r="L6">
        <v>100</v>
      </c>
      <c r="M6">
        <f>Tableau1[[#This Row],[Qty commandé]]*Tableau1[[#This Row],[Poid (g/m)]]/1000</f>
        <v>40</v>
      </c>
    </row>
    <row r="7">
      <c r="B7" t="str">
        <v xml:space="preserve">Bande de ragage S Orange, Noir &amp; Blanc – Protection Boudin Semi-Rigide </v>
      </c>
      <c r="C7" t="str">
        <v>#000005</v>
      </c>
      <c r="D7" t="str">
        <v>NC</v>
      </c>
      <c r="E7">
        <v>7</v>
      </c>
      <c r="F7">
        <v>310</v>
      </c>
      <c r="G7">
        <f>XLOOKUP(F7,'Grille tarifaire import chine'!A:A,'Grille tarifaire import chine'!D:D,"",1)</f>
        <v>1.2600000000000002</v>
      </c>
      <c r="H7">
        <f>XLOOKUP(F7,'Grille tarifaire import chine'!A:A,'Grille tarifaire import chine'!F:F,"",1)</f>
        <v>10.080000000000002</v>
      </c>
      <c r="I7">
        <f>XLOOKUP(F7,'Grille tarifaire import chine'!A:A,'Grille tarifaire import chine'!G:G,"",1)</f>
        <v>12.096000000000002</v>
      </c>
      <c r="J7">
        <f>XLOOKUP(F7,'Grille tarifaire import chine'!A:A,'Grille tarifaire import chine'!I:I,"",1)</f>
        <v>5.040000000000001</v>
      </c>
      <c r="K7">
        <f>XLOOKUP(F7,'Grille tarifaire import chine'!A:A,'Grille tarifaire import chine'!J:J,"",1)</f>
        <v>6.048000000000001</v>
      </c>
      <c r="L7">
        <v>80</v>
      </c>
      <c r="M7">
        <f>Tableau1[[#This Row],[Qty commandé]]*Tableau1[[#This Row],[Poid (g/m)]]/1000</f>
        <v>24.8</v>
      </c>
    </row>
    <row r="8">
      <c r="B8" t="str">
        <v xml:space="preserve">Bande de ragage Rouge – Protection Boudin Semi-Rigide </v>
      </c>
      <c r="C8" t="str">
        <v>#000006</v>
      </c>
      <c r="D8" t="str">
        <v>NC</v>
      </c>
      <c r="E8">
        <v>6</v>
      </c>
      <c r="F8">
        <v>180</v>
      </c>
      <c r="G8">
        <f>XLOOKUP(F8,'Grille tarifaire import chine'!A:A,'Grille tarifaire import chine'!D:D,"",1)</f>
        <v>0.6300000000000001</v>
      </c>
      <c r="H8">
        <f>XLOOKUP(F8,'Grille tarifaire import chine'!A:A,'Grille tarifaire import chine'!F:F,"",1)</f>
        <v>5.040000000000001</v>
      </c>
      <c r="I8">
        <f>XLOOKUP(F8,'Grille tarifaire import chine'!A:A,'Grille tarifaire import chine'!G:G,"",1)</f>
        <v>6.048000000000001</v>
      </c>
      <c r="J8">
        <f>XLOOKUP(F8,'Grille tarifaire import chine'!A:A,'Grille tarifaire import chine'!I:I,"",1)</f>
        <v>2.5200000000000005</v>
      </c>
      <c r="K8">
        <f>XLOOKUP(F8,'Grille tarifaire import chine'!A:A,'Grille tarifaire import chine'!J:J,"",1)</f>
        <v>3.0240000000000005</v>
      </c>
      <c r="L8">
        <v>80</v>
      </c>
      <c r="M8">
        <f>Tableau1[[#This Row],[Qty commandé]]*Tableau1[[#This Row],[Poid (g/m)]]/1000</f>
        <v>14.4</v>
      </c>
    </row>
    <row r="9">
      <c r="C9" t="str">
        <v>#000007</v>
      </c>
      <c r="D9" t="str">
        <v>NC</v>
      </c>
      <c r="E9">
        <v>9</v>
      </c>
      <c r="F9">
        <v>1429</v>
      </c>
      <c r="G9">
        <f>XLOOKUP(F9,'Grille tarifaire import chine'!A:A,'Grille tarifaire import chine'!D:D,"",1)</f>
        <v>4.7250000000000005</v>
      </c>
      <c r="H9">
        <f>XLOOKUP(F9,'Grille tarifaire import chine'!A:A,'Grille tarifaire import chine'!F:F,"",1)</f>
        <v>37.800000000000004</v>
      </c>
      <c r="I9">
        <f>XLOOKUP(F9,'Grille tarifaire import chine'!A:A,'Grille tarifaire import chine'!G:G,"",1)</f>
        <v>45.36000000000001</v>
      </c>
      <c r="J9">
        <f>XLOOKUP(F9,'Grille tarifaire import chine'!A:A,'Grille tarifaire import chine'!I:I,"",1)</f>
        <v>18.900000000000002</v>
      </c>
      <c r="K9">
        <f>XLOOKUP(F9,'Grille tarifaire import chine'!A:A,'Grille tarifaire import chine'!J:J,"",1)</f>
        <v>22.680000000000003</v>
      </c>
      <c r="M9">
        <f>Tableau1[[#This Row],[Qty commandé]]*Tableau1[[#This Row],[Poid (g/m)]]/1000</f>
        <v>0</v>
      </c>
    </row>
    <row r="10">
      <c r="C10" t="str">
        <v>#000008</v>
      </c>
      <c r="D10" t="str">
        <v>NC</v>
      </c>
      <c r="E10">
        <v>12.4</v>
      </c>
      <c r="F10">
        <v>1316</v>
      </c>
      <c r="G10">
        <f>XLOOKUP(F10,'Grille tarifaire import chine'!A:A,'Grille tarifaire import chine'!D:D,"",1)</f>
        <v>4.7250000000000005</v>
      </c>
      <c r="H10">
        <f>XLOOKUP(F10,'Grille tarifaire import chine'!A:A,'Grille tarifaire import chine'!F:F,"",1)</f>
        <v>37.800000000000004</v>
      </c>
      <c r="I10">
        <f>XLOOKUP(F10,'Grille tarifaire import chine'!A:A,'Grille tarifaire import chine'!G:G,"",1)</f>
        <v>45.36000000000001</v>
      </c>
      <c r="J10">
        <f>XLOOKUP(F10,'Grille tarifaire import chine'!A:A,'Grille tarifaire import chine'!I:I,"",1)</f>
        <v>18.900000000000002</v>
      </c>
      <c r="K10">
        <f>XLOOKUP(F10,'Grille tarifaire import chine'!A:A,'Grille tarifaire import chine'!J:J,"",1)</f>
        <v>22.680000000000003</v>
      </c>
      <c r="M10">
        <f>Tableau1[[#This Row],[Qty commandé]]*Tableau1[[#This Row],[Poid (g/m)]]/1000</f>
        <v>0</v>
      </c>
    </row>
    <row r="11">
      <c r="B11" t="str">
        <v>Cône de protection arrière plat pour boudin de bateau semi-rigide – Protection extrémité boudin</v>
      </c>
      <c r="C11" t="str">
        <v>#000009</v>
      </c>
      <c r="D11">
        <v>15</v>
      </c>
      <c r="E11">
        <v>15</v>
      </c>
      <c r="F11">
        <v>200</v>
      </c>
      <c r="G11">
        <f>XLOOKUP(F11,'Grille tarifaire import chine'!A:A,'Grille tarifaire import chine'!D:D,"",1)</f>
        <v>0.6300000000000001</v>
      </c>
      <c r="H11">
        <f>XLOOKUP(F11,'Grille tarifaire import chine'!A:A,'Grille tarifaire import chine'!F:F,"",1)</f>
        <v>5.040000000000001</v>
      </c>
      <c r="I11">
        <f>XLOOKUP(F11,'Grille tarifaire import chine'!A:A,'Grille tarifaire import chine'!G:G,"",1)</f>
        <v>6.048000000000001</v>
      </c>
      <c r="J11">
        <f>XLOOKUP(F11,'Grille tarifaire import chine'!A:A,'Grille tarifaire import chine'!I:I,"",1)</f>
        <v>2.5200000000000005</v>
      </c>
      <c r="K11">
        <f>XLOOKUP(F11,'Grille tarifaire import chine'!A:A,'Grille tarifaire import chine'!J:J,"",1)</f>
        <v>3.0240000000000005</v>
      </c>
      <c r="L11">
        <v>50</v>
      </c>
      <c r="M11">
        <f>Tableau1[[#This Row],[Qty commandé]]*Tableau1[[#This Row],[Poid (g/m)]]/1000</f>
        <v>10</v>
      </c>
    </row>
    <row r="12">
      <c r="B12" t="str">
        <v>Cône de protection arrière pour boudin de bateau semi-rigide – Protection extrémité boudin</v>
      </c>
      <c r="C12" t="str">
        <v>#000010</v>
      </c>
      <c r="D12">
        <v>15</v>
      </c>
      <c r="E12">
        <v>15</v>
      </c>
      <c r="F12">
        <v>200</v>
      </c>
      <c r="G12">
        <f>XLOOKUP(F12,'Grille tarifaire import chine'!A:A,'Grille tarifaire import chine'!D:D,"",1)</f>
        <v>0.6300000000000001</v>
      </c>
      <c r="H12">
        <f>XLOOKUP(F12,'Grille tarifaire import chine'!A:A,'Grille tarifaire import chine'!F:F,"",1)</f>
        <v>5.040000000000001</v>
      </c>
      <c r="I12">
        <f>XLOOKUP(F12,'Grille tarifaire import chine'!A:A,'Grille tarifaire import chine'!G:G,"",1)</f>
        <v>6.048000000000001</v>
      </c>
      <c r="J12">
        <f>XLOOKUP(F12,'Grille tarifaire import chine'!A:A,'Grille tarifaire import chine'!I:I,"",1)</f>
        <v>2.5200000000000005</v>
      </c>
      <c r="K12">
        <f>XLOOKUP(F12,'Grille tarifaire import chine'!A:A,'Grille tarifaire import chine'!J:J,"",1)</f>
        <v>3.0240000000000005</v>
      </c>
      <c r="L12">
        <v>50</v>
      </c>
      <c r="M12">
        <f>Tableau1[[#This Row],[Qty commandé]]*Tableau1[[#This Row],[Poid (g/m)]]/1000</f>
        <v>10</v>
      </c>
    </row>
    <row r="13">
      <c r="B13" t="str">
        <v>Poignée de maintien noire pour bateau pneumatique – Poignée boudin semi-rigide</v>
      </c>
      <c r="C13" t="str">
        <v>#000011</v>
      </c>
      <c r="D13">
        <v>24</v>
      </c>
      <c r="E13">
        <v>8.9</v>
      </c>
      <c r="F13">
        <v>280</v>
      </c>
      <c r="G13">
        <f>XLOOKUP(F13,'Grille tarifaire import chine'!A:A,'Grille tarifaire import chine'!D:D,"",1)</f>
        <v>0.945</v>
      </c>
      <c r="H13">
        <f>XLOOKUP(F13,'Grille tarifaire import chine'!A:A,'Grille tarifaire import chine'!F:F,"",1)</f>
        <v>7.56</v>
      </c>
      <c r="I13">
        <f>XLOOKUP(F13,'Grille tarifaire import chine'!A:A,'Grille tarifaire import chine'!G:G,"",1)</f>
        <v>9.072</v>
      </c>
      <c r="J13">
        <f>XLOOKUP(F13,'Grille tarifaire import chine'!A:A,'Grille tarifaire import chine'!I:I,"",1)</f>
        <v>3.78</v>
      </c>
      <c r="K13">
        <f>XLOOKUP(F13,'Grille tarifaire import chine'!A:A,'Grille tarifaire import chine'!J:J,"",1)</f>
        <v>4.536</v>
      </c>
      <c r="L13">
        <v>50</v>
      </c>
      <c r="M13">
        <f>Tableau1[[#This Row],[Qty commandé]]*Tableau1[[#This Row],[Poid (g/m)]]/1000</f>
        <v>14</v>
      </c>
    </row>
    <row r="14">
      <c r="B14" t="str">
        <v>Poignée de maintien grise pour bateau pneumatique – Poignée boudin semi-rigide</v>
      </c>
      <c r="C14" t="str">
        <v>#000012</v>
      </c>
      <c r="D14">
        <v>24</v>
      </c>
      <c r="E14">
        <v>8.9</v>
      </c>
      <c r="F14">
        <v>280</v>
      </c>
      <c r="G14">
        <f>XLOOKUP(F14,'Grille tarifaire import chine'!A:A,'Grille tarifaire import chine'!D:D,"",1)</f>
        <v>0.945</v>
      </c>
      <c r="H14">
        <f>XLOOKUP(F14,'Grille tarifaire import chine'!A:A,'Grille tarifaire import chine'!F:F,"",1)</f>
        <v>7.56</v>
      </c>
      <c r="I14">
        <f>XLOOKUP(F14,'Grille tarifaire import chine'!A:A,'Grille tarifaire import chine'!G:G,"",1)</f>
        <v>9.072</v>
      </c>
      <c r="J14">
        <f>XLOOKUP(F14,'Grille tarifaire import chine'!A:A,'Grille tarifaire import chine'!I:I,"",1)</f>
        <v>3.78</v>
      </c>
      <c r="K14">
        <f>XLOOKUP(F14,'Grille tarifaire import chine'!A:A,'Grille tarifaire import chine'!J:J,"",1)</f>
        <v>4.536</v>
      </c>
      <c r="L14">
        <v>50</v>
      </c>
      <c r="M14">
        <f>Tableau1[[#This Row],[Qty commandé]]*Tableau1[[#This Row],[Poid (g/m)]]/1000</f>
        <v>14</v>
      </c>
    </row>
    <row r="15">
      <c r="C15" t="str">
        <v>#000013</v>
      </c>
      <c r="D15">
        <v>36.3</v>
      </c>
      <c r="E15">
        <v>15.5</v>
      </c>
      <c r="F15">
        <v>220</v>
      </c>
      <c r="G15">
        <f>XLOOKUP(F15,'Grille tarifaire import chine'!A:A,'Grille tarifaire import chine'!D:D,"",1)</f>
        <v>0.945</v>
      </c>
      <c r="H15">
        <f>XLOOKUP(F15,'Grille tarifaire import chine'!A:A,'Grille tarifaire import chine'!F:F,"",1)</f>
        <v>7.56</v>
      </c>
      <c r="I15">
        <f>XLOOKUP(F15,'Grille tarifaire import chine'!A:A,'Grille tarifaire import chine'!G:G,"",1)</f>
        <v>9.072</v>
      </c>
      <c r="J15">
        <f>XLOOKUP(F15,'Grille tarifaire import chine'!A:A,'Grille tarifaire import chine'!I:I,"",1)</f>
        <v>3.78</v>
      </c>
      <c r="K15">
        <f>XLOOKUP(F15,'Grille tarifaire import chine'!A:A,'Grille tarifaire import chine'!J:J,"",1)</f>
        <v>4.536</v>
      </c>
      <c r="L15">
        <v>30</v>
      </c>
      <c r="M15">
        <f>Tableau1[[#This Row],[Qty commandé]]*Tableau1[[#This Row],[Poid (g/m)]]/1000</f>
        <v>6.6</v>
      </c>
    </row>
    <row r="16">
      <c r="B16" t="str">
        <v>Kit valve de gonflage noir bateau pneumatique avec clé – Valve pour semi-rigide PVC &amp; Hypalon</v>
      </c>
      <c r="C16" t="str">
        <v>#000014</v>
      </c>
      <c r="D16" t="str">
        <v>NC</v>
      </c>
      <c r="E16">
        <v>3.7</v>
      </c>
      <c r="F16">
        <v>110</v>
      </c>
      <c r="G16">
        <f>XLOOKUP(F16,'Grille tarifaire import chine'!A:A,'Grille tarifaire import chine'!D:D,"",1)</f>
        <v>0.6300000000000001</v>
      </c>
      <c r="H16">
        <f>XLOOKUP(F16,'Grille tarifaire import chine'!A:A,'Grille tarifaire import chine'!F:F,"",1)</f>
        <v>5.040000000000001</v>
      </c>
      <c r="I16">
        <f>XLOOKUP(F16,'Grille tarifaire import chine'!A:A,'Grille tarifaire import chine'!G:G,"",1)</f>
        <v>6.048000000000001</v>
      </c>
      <c r="J16">
        <f>XLOOKUP(F16,'Grille tarifaire import chine'!A:A,'Grille tarifaire import chine'!I:I,"",1)</f>
        <v>2.5200000000000005</v>
      </c>
      <c r="K16">
        <f>XLOOKUP(F16,'Grille tarifaire import chine'!A:A,'Grille tarifaire import chine'!J:J,"",1)</f>
        <v>3.0240000000000005</v>
      </c>
      <c r="L16">
        <v>100</v>
      </c>
      <c r="M16">
        <f>Tableau1[[#This Row],[Qty commandé]]*Tableau1[[#This Row],[Poid (g/m)]]/1000</f>
        <v>11</v>
      </c>
    </row>
    <row r="17">
      <c r="B17" t="str">
        <v>Poignée de protection noire pour corde – Poignée silicone pour bout de bateau</v>
      </c>
      <c r="C17" t="str">
        <v>#000015</v>
      </c>
      <c r="D17">
        <v>2.3</v>
      </c>
      <c r="E17">
        <v>11.5</v>
      </c>
      <c r="F17">
        <v>25</v>
      </c>
      <c r="G17">
        <f>XLOOKUP(F17,'Grille tarifaire import chine'!A:A,'Grille tarifaire import chine'!D:D,"",1)</f>
        <v>0.07875000000000001</v>
      </c>
      <c r="H17">
        <f>XLOOKUP(F17,'Grille tarifaire import chine'!A:A,'Grille tarifaire import chine'!F:F,"",1)</f>
        <v>0.6300000000000001</v>
      </c>
      <c r="I17">
        <f>XLOOKUP(F17,'Grille tarifaire import chine'!A:A,'Grille tarifaire import chine'!G:G,"",1)</f>
        <v>0.7560000000000001</v>
      </c>
      <c r="J17">
        <f>XLOOKUP(F17,'Grille tarifaire import chine'!A:A,'Grille tarifaire import chine'!I:I,"",1)</f>
        <v>0.31500000000000006</v>
      </c>
      <c r="K17">
        <f>XLOOKUP(F17,'Grille tarifaire import chine'!A:A,'Grille tarifaire import chine'!J:J,"",1)</f>
        <v>0.37800000000000006</v>
      </c>
      <c r="L17">
        <v>100</v>
      </c>
      <c r="M17">
        <f>Tableau1[[#This Row],[Qty commandé]]*Tableau1[[#This Row],[Poid (g/m)]]/1000</f>
        <v>2.5</v>
      </c>
    </row>
    <row r="18">
      <c r="B18" t="str">
        <v>Bande de ragage Shark Fin Noir &amp; Turquoise pour Semi-Rigide – Protection Boudin PVC &amp; Hypalon</v>
      </c>
      <c r="C18" t="str">
        <v>#000016</v>
      </c>
      <c r="D18" t="str">
        <v>NC</v>
      </c>
      <c r="E18">
        <v>8</v>
      </c>
      <c r="F18">
        <v>480</v>
      </c>
      <c r="G18">
        <f>XLOOKUP(F18,'Grille tarifaire import chine'!A:A,'Grille tarifaire import chine'!D:D,"",1)</f>
        <v>1.5750000000000002</v>
      </c>
      <c r="H18">
        <f>XLOOKUP(F18,'Grille tarifaire import chine'!A:A,'Grille tarifaire import chine'!F:F,"",1)</f>
        <v>12.600000000000001</v>
      </c>
      <c r="I18">
        <f>XLOOKUP(F18,'Grille tarifaire import chine'!A:A,'Grille tarifaire import chine'!G:G,"",1)</f>
        <v>15.120000000000001</v>
      </c>
      <c r="J18">
        <f>XLOOKUP(F18,'Grille tarifaire import chine'!A:A,'Grille tarifaire import chine'!I:I,"",1)</f>
        <v>6.300000000000001</v>
      </c>
      <c r="K18">
        <f>XLOOKUP(F18,'Grille tarifaire import chine'!A:A,'Grille tarifaire import chine'!J:J,"",1)</f>
        <v>7.5600000000000005</v>
      </c>
      <c r="L18">
        <v>100</v>
      </c>
      <c r="M18">
        <f>Tableau1[[#This Row],[Qty commandé]]*Tableau1[[#This Row],[Poid (g/m)]]/1000</f>
        <v>48</v>
      </c>
    </row>
    <row r="19">
      <c r="B19" t="str">
        <v xml:space="preserve">Bande de ragage Shark Fin Turquoise &amp; Blanc pour Semi-Rigide – Protection Boudin PVC &amp; Hypalon 	</v>
      </c>
      <c r="C19" t="str">
        <v>#000017</v>
      </c>
      <c r="D19" t="str">
        <v>NC</v>
      </c>
      <c r="E19">
        <v>8</v>
      </c>
      <c r="F19">
        <v>390</v>
      </c>
      <c r="G19">
        <f>XLOOKUP(F19,'Grille tarifaire import chine'!A:A,'Grille tarifaire import chine'!D:D,"",1)</f>
        <v>1.2600000000000002</v>
      </c>
      <c r="H19">
        <f>XLOOKUP(F19,'Grille tarifaire import chine'!A:A,'Grille tarifaire import chine'!F:F,"",1)</f>
        <v>10.080000000000002</v>
      </c>
      <c r="I19">
        <f>XLOOKUP(F19,'Grille tarifaire import chine'!A:A,'Grille tarifaire import chine'!G:G,"",1)</f>
        <v>12.096000000000002</v>
      </c>
      <c r="J19">
        <f>XLOOKUP(F19,'Grille tarifaire import chine'!A:A,'Grille tarifaire import chine'!I:I,"",1)</f>
        <v>5.040000000000001</v>
      </c>
      <c r="K19">
        <f>XLOOKUP(F19,'Grille tarifaire import chine'!A:A,'Grille tarifaire import chine'!J:J,"",1)</f>
        <v>6.048000000000001</v>
      </c>
      <c r="L19">
        <v>40</v>
      </c>
      <c r="M19">
        <f>Tableau1[[#This Row],[Qty commandé]]*Tableau1[[#This Row],[Poid (g/m)]]/1000</f>
        <v>15.6</v>
      </c>
    </row>
    <row r="20">
      <c r="B20" t="str">
        <v xml:space="preserve">Bande de ragage Shark Fin Noir &amp; Blanc pour Semi-Rigide – Protection Boudin PVC &amp; Hypalon </v>
      </c>
      <c r="C20" t="str">
        <v>#000018</v>
      </c>
      <c r="D20" t="str">
        <v>NC</v>
      </c>
      <c r="E20">
        <v>8</v>
      </c>
      <c r="F20">
        <v>430</v>
      </c>
      <c r="G20">
        <f>XLOOKUP(F20,'Grille tarifaire import chine'!A:A,'Grille tarifaire import chine'!D:D,"",1)</f>
        <v>1.5750000000000002</v>
      </c>
      <c r="H20">
        <f>XLOOKUP(F20,'Grille tarifaire import chine'!A:A,'Grille tarifaire import chine'!F:F,"",1)</f>
        <v>12.600000000000001</v>
      </c>
      <c r="I20">
        <f>XLOOKUP(F20,'Grille tarifaire import chine'!A:A,'Grille tarifaire import chine'!G:G,"",1)</f>
        <v>15.120000000000001</v>
      </c>
      <c r="J20">
        <f>XLOOKUP(F20,'Grille tarifaire import chine'!A:A,'Grille tarifaire import chine'!I:I,"",1)</f>
        <v>6.300000000000001</v>
      </c>
      <c r="K20">
        <f>XLOOKUP(F20,'Grille tarifaire import chine'!A:A,'Grille tarifaire import chine'!J:J,"",1)</f>
        <v>7.5600000000000005</v>
      </c>
      <c r="L20">
        <v>100</v>
      </c>
      <c r="M20">
        <f>Tableau1[[#This Row],[Qty commandé]]*Tableau1[[#This Row],[Poid (g/m)]]/1000</f>
        <v>43</v>
      </c>
    </row>
    <row r="21">
      <c r="B21" t="str">
        <v xml:space="preserve">Bande de ragage Shark Fin Gris &amp; Blanc pour Semi-Rigide – Protection Boudin PVC &amp; Hypalon 	</v>
      </c>
      <c r="C21" t="str">
        <v>#000019</v>
      </c>
      <c r="D21" t="str">
        <v>NC</v>
      </c>
      <c r="E21">
        <v>8</v>
      </c>
      <c r="F21">
        <v>330</v>
      </c>
      <c r="G21">
        <f>XLOOKUP(F21,'Grille tarifaire import chine'!A:A,'Grille tarifaire import chine'!D:D,"",1)</f>
        <v>1.2600000000000002</v>
      </c>
      <c r="H21">
        <f>XLOOKUP(F21,'Grille tarifaire import chine'!A:A,'Grille tarifaire import chine'!F:F,"",1)</f>
        <v>10.080000000000002</v>
      </c>
      <c r="I21">
        <f>XLOOKUP(F21,'Grille tarifaire import chine'!A:A,'Grille tarifaire import chine'!G:G,"",1)</f>
        <v>12.096000000000002</v>
      </c>
      <c r="J21">
        <f>XLOOKUP(F21,'Grille tarifaire import chine'!A:A,'Grille tarifaire import chine'!I:I,"",1)</f>
        <v>5.040000000000001</v>
      </c>
      <c r="K21">
        <f>XLOOKUP(F21,'Grille tarifaire import chine'!A:A,'Grille tarifaire import chine'!J:J,"",1)</f>
        <v>6.048000000000001</v>
      </c>
      <c r="L21">
        <v>100</v>
      </c>
      <c r="M21">
        <f>Tableau1[[#This Row],[Qty commandé]]*Tableau1[[#This Row],[Poid (g/m)]]/1000</f>
        <v>33</v>
      </c>
    </row>
    <row r="22">
      <c r="B22" t="str">
        <v xml:space="preserve">Bande de ragage L Grise pour Semi-Rigide – Protection Renforcée Boudin PVC &amp; Hypalon 	</v>
      </c>
      <c r="C22" t="str">
        <v>#000020</v>
      </c>
      <c r="D22" t="str">
        <v>NC</v>
      </c>
      <c r="E22">
        <v>7.8</v>
      </c>
      <c r="F22">
        <v>210</v>
      </c>
      <c r="G22">
        <f>XLOOKUP(F22,'Grille tarifaire import chine'!A:A,'Grille tarifaire import chine'!D:D,"",1)</f>
        <v>0.945</v>
      </c>
      <c r="H22">
        <f>XLOOKUP(F22,'Grille tarifaire import chine'!A:A,'Grille tarifaire import chine'!F:F,"",1)</f>
        <v>7.56</v>
      </c>
      <c r="I22">
        <f>XLOOKUP(F22,'Grille tarifaire import chine'!A:A,'Grille tarifaire import chine'!G:G,"",1)</f>
        <v>9.072</v>
      </c>
      <c r="J22">
        <f>XLOOKUP(F22,'Grille tarifaire import chine'!A:A,'Grille tarifaire import chine'!I:I,"",1)</f>
        <v>3.78</v>
      </c>
      <c r="K22">
        <f>XLOOKUP(F22,'Grille tarifaire import chine'!A:A,'Grille tarifaire import chine'!J:J,"",1)</f>
        <v>4.536</v>
      </c>
      <c r="L22">
        <v>40</v>
      </c>
      <c r="M22">
        <f>Tableau1[[#This Row],[Qty commandé]]*Tableau1[[#This Row],[Poid (g/m)]]/1000</f>
        <v>8.4</v>
      </c>
    </row>
    <row r="23">
      <c r="B23" t="str">
        <v xml:space="preserve">Bande de ragage S Noir &amp; Rouge pour Semi-Rigide – Protection Boudin PVC &amp; Hypalon 	</v>
      </c>
      <c r="C23" t="str">
        <v>#000021</v>
      </c>
      <c r="D23" t="str">
        <v>NC</v>
      </c>
      <c r="E23">
        <v>6</v>
      </c>
      <c r="F23">
        <v>155</v>
      </c>
      <c r="G23">
        <f>XLOOKUP(F23,'Grille tarifaire import chine'!A:A,'Grille tarifaire import chine'!D:D,"",1)</f>
        <v>0.6300000000000001</v>
      </c>
      <c r="H23">
        <f>XLOOKUP(F23,'Grille tarifaire import chine'!A:A,'Grille tarifaire import chine'!F:F,"",1)</f>
        <v>5.040000000000001</v>
      </c>
      <c r="I23">
        <f>XLOOKUP(F23,'Grille tarifaire import chine'!A:A,'Grille tarifaire import chine'!G:G,"",1)</f>
        <v>6.048000000000001</v>
      </c>
      <c r="J23">
        <f>XLOOKUP(F23,'Grille tarifaire import chine'!A:A,'Grille tarifaire import chine'!I:I,"",1)</f>
        <v>2.5200000000000005</v>
      </c>
      <c r="K23">
        <f>XLOOKUP(F23,'Grille tarifaire import chine'!A:A,'Grille tarifaire import chine'!J:J,"",1)</f>
        <v>3.0240000000000005</v>
      </c>
      <c r="L23">
        <v>80</v>
      </c>
      <c r="M23">
        <f>Tableau1[[#This Row],[Qty commandé]]*Tableau1[[#This Row],[Poid (g/m)]]/1000</f>
        <v>12.4</v>
      </c>
    </row>
    <row r="24">
      <c r="B24" t="str">
        <v xml:space="preserve">Bande de ragage S Gris &amp; Rouge pour Semi-Rigide – Protection Boudin PVC &amp; Hypalon 	</v>
      </c>
      <c r="C24" t="str">
        <v>#000022</v>
      </c>
      <c r="D24" t="str">
        <v>NC</v>
      </c>
      <c r="E24">
        <v>6</v>
      </c>
      <c r="F24">
        <v>140</v>
      </c>
      <c r="G24">
        <f>XLOOKUP(F24,'Grille tarifaire import chine'!A:A,'Grille tarifaire import chine'!D:D,"",1)</f>
        <v>0.6300000000000001</v>
      </c>
      <c r="H24">
        <f>XLOOKUP(F24,'Grille tarifaire import chine'!A:A,'Grille tarifaire import chine'!F:F,"",1)</f>
        <v>5.040000000000001</v>
      </c>
      <c r="I24">
        <f>XLOOKUP(F24,'Grille tarifaire import chine'!A:A,'Grille tarifaire import chine'!G:G,"",1)</f>
        <v>6.048000000000001</v>
      </c>
      <c r="J24">
        <f>XLOOKUP(F24,'Grille tarifaire import chine'!A:A,'Grille tarifaire import chine'!I:I,"",1)</f>
        <v>2.5200000000000005</v>
      </c>
      <c r="K24">
        <f>XLOOKUP(F24,'Grille tarifaire import chine'!A:A,'Grille tarifaire import chine'!J:J,"",1)</f>
        <v>3.0240000000000005</v>
      </c>
      <c r="L24">
        <v>80</v>
      </c>
      <c r="M24">
        <f>Tableau1[[#This Row],[Qty commandé]]*Tableau1[[#This Row],[Poid (g/m)]]/1000</f>
        <v>11.2</v>
      </c>
    </row>
    <row r="25">
      <c r="B25" t="str">
        <v xml:space="preserve">Bande de ragage XS Noir pour Semi-Rigide – Protection Boudin PVC &amp; Hypalon </v>
      </c>
      <c r="C25" t="str">
        <v>#000023</v>
      </c>
      <c r="D25" t="str">
        <v>NC</v>
      </c>
      <c r="E25">
        <v>4.6</v>
      </c>
      <c r="F25">
        <v>140</v>
      </c>
      <c r="G25">
        <f>XLOOKUP(F25,'Grille tarifaire import chine'!A:A,'Grille tarifaire import chine'!D:D,"",1)</f>
        <v>0.6300000000000001</v>
      </c>
      <c r="H25">
        <f>XLOOKUP(F25,'Grille tarifaire import chine'!A:A,'Grille tarifaire import chine'!F:F,"",1)</f>
        <v>5.040000000000001</v>
      </c>
      <c r="I25">
        <f>XLOOKUP(F25,'Grille tarifaire import chine'!A:A,'Grille tarifaire import chine'!G:G,"",1)</f>
        <v>6.048000000000001</v>
      </c>
      <c r="J25">
        <f>XLOOKUP(F25,'Grille tarifaire import chine'!A:A,'Grille tarifaire import chine'!I:I,"",1)</f>
        <v>2.5200000000000005</v>
      </c>
      <c r="K25">
        <f>XLOOKUP(F25,'Grille tarifaire import chine'!A:A,'Grille tarifaire import chine'!J:J,"",1)</f>
        <v>3.0240000000000005</v>
      </c>
      <c r="L25">
        <v>80</v>
      </c>
      <c r="M25">
        <f>Tableau1[[#This Row],[Qty commandé]]*Tableau1[[#This Row],[Poid (g/m)]]/1000</f>
        <v>11.2</v>
      </c>
    </row>
    <row r="26">
      <c r="B26" t="str">
        <v xml:space="preserve">Bande de ragage XL Noir &amp; Rouge pour Semi-Rigide – Protection Renforcée Boudin PVC &amp; Hypalon 	</v>
      </c>
      <c r="C26" t="str">
        <v>#000024</v>
      </c>
      <c r="D26" t="str">
        <v>NC</v>
      </c>
      <c r="E26">
        <v>10.2</v>
      </c>
      <c r="F26">
        <v>310</v>
      </c>
      <c r="G26">
        <f>XLOOKUP(F26,'Grille tarifaire import chine'!A:A,'Grille tarifaire import chine'!D:D,"",1)</f>
        <v>1.2600000000000002</v>
      </c>
      <c r="H26">
        <f>XLOOKUP(F26,'Grille tarifaire import chine'!A:A,'Grille tarifaire import chine'!F:F,"",1)</f>
        <v>10.080000000000002</v>
      </c>
      <c r="I26">
        <f>XLOOKUP(F26,'Grille tarifaire import chine'!A:A,'Grille tarifaire import chine'!G:G,"",1)</f>
        <v>12.096000000000002</v>
      </c>
      <c r="J26">
        <f>XLOOKUP(F26,'Grille tarifaire import chine'!A:A,'Grille tarifaire import chine'!I:I,"",1)</f>
        <v>5.040000000000001</v>
      </c>
      <c r="K26">
        <f>XLOOKUP(F26,'Grille tarifaire import chine'!A:A,'Grille tarifaire import chine'!J:J,"",1)</f>
        <v>6.048000000000001</v>
      </c>
      <c r="L26">
        <v>40</v>
      </c>
      <c r="M26">
        <f>Tableau1[[#This Row],[Qty commandé]]*Tableau1[[#This Row],[Poid (g/m)]]/1000</f>
        <v>12.4</v>
      </c>
    </row>
    <row r="27">
      <c r="B27" t="str">
        <v xml:space="preserve">Bande de ragage Shark Fin Gris &amp; Blanc pour Semi-Rigide – Protection Boudin PVC &amp; Hypalon </v>
      </c>
      <c r="C27" t="str">
        <v>#000025</v>
      </c>
      <c r="D27" t="str">
        <v>NC</v>
      </c>
      <c r="E27">
        <v>8</v>
      </c>
      <c r="F27">
        <v>440</v>
      </c>
      <c r="G27">
        <f>XLOOKUP(F27,'Grille tarifaire import chine'!A:A,'Grille tarifaire import chine'!D:D,"",1)</f>
        <v>1.5750000000000002</v>
      </c>
      <c r="H27">
        <f>XLOOKUP(F27,'Grille tarifaire import chine'!A:A,'Grille tarifaire import chine'!F:F,"",1)</f>
        <v>12.600000000000001</v>
      </c>
      <c r="I27">
        <f>XLOOKUP(F27,'Grille tarifaire import chine'!A:A,'Grille tarifaire import chine'!G:G,"",1)</f>
        <v>15.120000000000001</v>
      </c>
      <c r="J27">
        <f>XLOOKUP(F27,'Grille tarifaire import chine'!A:A,'Grille tarifaire import chine'!I:I,"",1)</f>
        <v>6.300000000000001</v>
      </c>
      <c r="K27">
        <f>XLOOKUP(F27,'Grille tarifaire import chine'!A:A,'Grille tarifaire import chine'!J:J,"",1)</f>
        <v>7.5600000000000005</v>
      </c>
      <c r="L27">
        <v>40</v>
      </c>
      <c r="M27">
        <f>Tableau1[[#This Row],[Qty commandé]]*Tableau1[[#This Row],[Poid (g/m)]]/1000</f>
        <v>17.6</v>
      </c>
    </row>
    <row r="28">
      <c r="C28" t="str">
        <v>#000026</v>
      </c>
      <c r="G28" t="str">
        <f>XLOOKUP(F28,'Grille tarifaire import chine'!A:A,'Grille tarifaire import chine'!D:D,"",1)</f>
        <v>taxe douane (€)</v>
      </c>
      <c r="H28" t="str">
        <f>XLOOKUP(F28,'Grille tarifaire import chine'!A:A,'Grille tarifaire import chine'!F:F,"",1)</f>
        <v>Prix de vente HT (€)</v>
      </c>
      <c r="I28" t="str">
        <f>XLOOKUP(F28,'Grille tarifaire import chine'!A:A,'Grille tarifaire import chine'!G:G,"",1)</f>
        <v>Prix de vente TTC (€)</v>
      </c>
      <c r="J28" t="str">
        <f>XLOOKUP(F28,'Grille tarifaire import chine'!A:A,'Grille tarifaire import chine'!I:I,"",1)</f>
        <v>Prix de vente HT (€)</v>
      </c>
      <c r="K28" t="str">
        <f>XLOOKUP(F28,'Grille tarifaire import chine'!A:A,'Grille tarifaire import chine'!J:J,"",1)</f>
        <v>Prix de vente TTC (€)</v>
      </c>
      <c r="M28">
        <f>Tableau1[[#This Row],[Qty commandé]]*Tableau1[[#This Row],[Poid (g/m)]]/1000</f>
        <v>0</v>
      </c>
    </row>
    <row r="29">
      <c r="C29" t="str">
        <v>#000027</v>
      </c>
      <c r="G29" t="str">
        <f>XLOOKUP(F29,'Grille tarifaire import chine'!A:A,'Grille tarifaire import chine'!D:D,"",1)</f>
        <v>taxe douane (€)</v>
      </c>
      <c r="H29" t="str">
        <f>XLOOKUP(F29,'Grille tarifaire import chine'!A:A,'Grille tarifaire import chine'!F:F,"",1)</f>
        <v>Prix de vente HT (€)</v>
      </c>
      <c r="I29" t="str">
        <f>XLOOKUP(F29,'Grille tarifaire import chine'!A:A,'Grille tarifaire import chine'!G:G,"",1)</f>
        <v>Prix de vente TTC (€)</v>
      </c>
      <c r="J29" t="str">
        <f>XLOOKUP(F29,'Grille tarifaire import chine'!A:A,'Grille tarifaire import chine'!I:I,"",1)</f>
        <v>Prix de vente HT (€)</v>
      </c>
      <c r="K29" t="str">
        <f>XLOOKUP(F29,'Grille tarifaire import chine'!A:A,'Grille tarifaire import chine'!J:J,"",1)</f>
        <v>Prix de vente TTC (€)</v>
      </c>
      <c r="M29">
        <f>Tableau1[[#This Row],[Qty commandé]]*Tableau1[[#This Row],[Poid (g/m)]]/1000</f>
        <v>0</v>
      </c>
    </row>
    <row r="30">
      <c r="C30" t="str">
        <v>#000028</v>
      </c>
      <c r="G30" t="str">
        <f>XLOOKUP(F30,'Grille tarifaire import chine'!A:A,'Grille tarifaire import chine'!D:D,"",1)</f>
        <v>taxe douane (€)</v>
      </c>
      <c r="H30" t="str">
        <f>XLOOKUP(F30,'Grille tarifaire import chine'!A:A,'Grille tarifaire import chine'!F:F,"",1)</f>
        <v>Prix de vente HT (€)</v>
      </c>
      <c r="I30" t="str">
        <f>XLOOKUP(F30,'Grille tarifaire import chine'!A:A,'Grille tarifaire import chine'!G:G,"",1)</f>
        <v>Prix de vente TTC (€)</v>
      </c>
      <c r="J30" t="str">
        <f>XLOOKUP(F30,'Grille tarifaire import chine'!A:A,'Grille tarifaire import chine'!I:I,"",1)</f>
        <v>Prix de vente HT (€)</v>
      </c>
      <c r="K30" t="str">
        <f>XLOOKUP(F30,'Grille tarifaire import chine'!A:A,'Grille tarifaire import chine'!J:J,"",1)</f>
        <v>Prix de vente TTC (€)</v>
      </c>
      <c r="M30">
        <f>Tableau1[[#This Row],[Qty commandé]]*Tableau1[[#This Row],[Poid (g/m)]]/1000</f>
        <v>0</v>
      </c>
    </row>
    <row r="31">
      <c r="C31" t="str">
        <v>#000029</v>
      </c>
      <c r="G31" t="str">
        <f>XLOOKUP(F31,'Grille tarifaire import chine'!A:A,'Grille tarifaire import chine'!D:D,"",1)</f>
        <v>taxe douane (€)</v>
      </c>
      <c r="H31" t="str">
        <f>XLOOKUP(F31,'Grille tarifaire import chine'!A:A,'Grille tarifaire import chine'!F:F,"",1)</f>
        <v>Prix de vente HT (€)</v>
      </c>
      <c r="I31" t="str">
        <f>XLOOKUP(F31,'Grille tarifaire import chine'!A:A,'Grille tarifaire import chine'!G:G,"",1)</f>
        <v>Prix de vente TTC (€)</v>
      </c>
      <c r="J31" t="str">
        <f>XLOOKUP(F31,'Grille tarifaire import chine'!A:A,'Grille tarifaire import chine'!I:I,"",1)</f>
        <v>Prix de vente HT (€)</v>
      </c>
      <c r="K31" t="str">
        <f>XLOOKUP(F31,'Grille tarifaire import chine'!A:A,'Grille tarifaire import chine'!J:J,"",1)</f>
        <v>Prix de vente TTC (€)</v>
      </c>
      <c r="M31">
        <f>Tableau1[[#This Row],[Qty commandé]]*Tableau1[[#This Row],[Poid (g/m)]]/1000</f>
        <v>0</v>
      </c>
    </row>
    <row r="32">
      <c r="C32" t="str">
        <v>#000030</v>
      </c>
      <c r="G32" t="str">
        <f>XLOOKUP(F32,'Grille tarifaire import chine'!A:A,'Grille tarifaire import chine'!D:D,"",1)</f>
        <v>taxe douane (€)</v>
      </c>
      <c r="H32" t="str">
        <f>XLOOKUP(F32,'Grille tarifaire import chine'!A:A,'Grille tarifaire import chine'!F:F,"",1)</f>
        <v>Prix de vente HT (€)</v>
      </c>
      <c r="I32" t="str">
        <f>XLOOKUP(F32,'Grille tarifaire import chine'!A:A,'Grille tarifaire import chine'!G:G,"",1)</f>
        <v>Prix de vente TTC (€)</v>
      </c>
      <c r="J32" t="str">
        <f>XLOOKUP(F32,'Grille tarifaire import chine'!A:A,'Grille tarifaire import chine'!I:I,"",1)</f>
        <v>Prix de vente HT (€)</v>
      </c>
      <c r="K32" t="str">
        <f>XLOOKUP(F32,'Grille tarifaire import chine'!A:A,'Grille tarifaire import chine'!J:J,"",1)</f>
        <v>Prix de vente TTC (€)</v>
      </c>
      <c r="M32">
        <f>Tableau1[[#This Row],[Qty commandé]]*Tableau1[[#This Row],[Poid (g/m)]]/1000</f>
        <v>0</v>
      </c>
    </row>
    <row r="33">
      <c r="C33" t="str">
        <v>#000031</v>
      </c>
      <c r="G33" t="str">
        <f>XLOOKUP(F33,'Grille tarifaire import chine'!A:A,'Grille tarifaire import chine'!D:D,"",1)</f>
        <v>taxe douane (€)</v>
      </c>
      <c r="H33" t="str">
        <f>XLOOKUP(F33,'Grille tarifaire import chine'!A:A,'Grille tarifaire import chine'!F:F,"",1)</f>
        <v>Prix de vente HT (€)</v>
      </c>
      <c r="I33" t="str">
        <f>XLOOKUP(F33,'Grille tarifaire import chine'!A:A,'Grille tarifaire import chine'!G:G,"",1)</f>
        <v>Prix de vente TTC (€)</v>
      </c>
      <c r="J33" t="str">
        <f>XLOOKUP(F33,'Grille tarifaire import chine'!A:A,'Grille tarifaire import chine'!I:I,"",1)</f>
        <v>Prix de vente HT (€)</v>
      </c>
      <c r="K33" t="str">
        <f>XLOOKUP(F33,'Grille tarifaire import chine'!A:A,'Grille tarifaire import chine'!J:J,"",1)</f>
        <v>Prix de vente TTC (€)</v>
      </c>
      <c r="M33">
        <f>Tableau1[[#This Row],[Qty commandé]]*Tableau1[[#This Row],[Poid (g/m)]]/1000</f>
        <v>0</v>
      </c>
    </row>
    <row r="34">
      <c r="C34" t="str">
        <v>#000032</v>
      </c>
      <c r="G34" t="str">
        <f>XLOOKUP(F34,'Grille tarifaire import chine'!A:A,'Grille tarifaire import chine'!D:D,"",1)</f>
        <v>taxe douane (€)</v>
      </c>
      <c r="H34" t="str">
        <f>XLOOKUP(F34,'Grille tarifaire import chine'!A:A,'Grille tarifaire import chine'!F:F,"",1)</f>
        <v>Prix de vente HT (€)</v>
      </c>
      <c r="I34" t="str">
        <f>XLOOKUP(F34,'Grille tarifaire import chine'!A:A,'Grille tarifaire import chine'!G:G,"",1)</f>
        <v>Prix de vente TTC (€)</v>
      </c>
      <c r="J34" t="str">
        <f>XLOOKUP(F34,'Grille tarifaire import chine'!A:A,'Grille tarifaire import chine'!I:I,"",1)</f>
        <v>Prix de vente HT (€)</v>
      </c>
      <c r="K34" t="str">
        <f>XLOOKUP(F34,'Grille tarifaire import chine'!A:A,'Grille tarifaire import chine'!J:J,"",1)</f>
        <v>Prix de vente TTC (€)</v>
      </c>
      <c r="M34">
        <f>Tableau1[[#This Row],[Qty commandé]]*Tableau1[[#This Row],[Poid (g/m)]]/1000</f>
        <v>0</v>
      </c>
    </row>
    <row r="35">
      <c r="C35" t="str">
        <v>#000033</v>
      </c>
      <c r="G35" t="str">
        <f>XLOOKUP(F35,'Grille tarifaire import chine'!A:A,'Grille tarifaire import chine'!D:D,"",1)</f>
        <v>taxe douane (€)</v>
      </c>
      <c r="H35" t="str">
        <f>XLOOKUP(F35,'Grille tarifaire import chine'!A:A,'Grille tarifaire import chine'!F:F,"",1)</f>
        <v>Prix de vente HT (€)</v>
      </c>
      <c r="I35" t="str">
        <f>XLOOKUP(F35,'Grille tarifaire import chine'!A:A,'Grille tarifaire import chine'!G:G,"",1)</f>
        <v>Prix de vente TTC (€)</v>
      </c>
      <c r="J35" t="str">
        <f>XLOOKUP(F35,'Grille tarifaire import chine'!A:A,'Grille tarifaire import chine'!I:I,"",1)</f>
        <v>Prix de vente HT (€)</v>
      </c>
      <c r="K35" t="str">
        <f>XLOOKUP(F35,'Grille tarifaire import chine'!A:A,'Grille tarifaire import chine'!J:J,"",1)</f>
        <v>Prix de vente TTC (€)</v>
      </c>
      <c r="M35">
        <f>Tableau1[[#This Row],[Qty commandé]]*Tableau1[[#This Row],[Poid (g/m)]]/1000</f>
        <v>0</v>
      </c>
    </row>
    <row r="36">
      <c r="C36" t="str">
        <v>#000034</v>
      </c>
      <c r="G36" t="str">
        <f>XLOOKUP(F36,'Grille tarifaire import chine'!A:A,'Grille tarifaire import chine'!D:D,"",1)</f>
        <v>taxe douane (€)</v>
      </c>
      <c r="H36" t="str">
        <f>XLOOKUP(F36,'Grille tarifaire import chine'!A:A,'Grille tarifaire import chine'!F:F,"",1)</f>
        <v>Prix de vente HT (€)</v>
      </c>
      <c r="I36" t="str">
        <f>XLOOKUP(F36,'Grille tarifaire import chine'!A:A,'Grille tarifaire import chine'!G:G,"",1)</f>
        <v>Prix de vente TTC (€)</v>
      </c>
      <c r="J36" t="str">
        <f>XLOOKUP(F36,'Grille tarifaire import chine'!A:A,'Grille tarifaire import chine'!I:I,"",1)</f>
        <v>Prix de vente HT (€)</v>
      </c>
      <c r="K36" t="str">
        <f>XLOOKUP(F36,'Grille tarifaire import chine'!A:A,'Grille tarifaire import chine'!J:J,"",1)</f>
        <v>Prix de vente TTC (€)</v>
      </c>
      <c r="M36">
        <f>Tableau1[[#This Row],[Qty commandé]]*Tableau1[[#This Row],[Poid (g/m)]]/1000</f>
        <v>0</v>
      </c>
    </row>
    <row r="37">
      <c r="C37" t="str">
        <v>#000035</v>
      </c>
      <c r="G37" t="str">
        <f>XLOOKUP(F37,'Grille tarifaire import chine'!A:A,'Grille tarifaire import chine'!D:D,"",1)</f>
        <v>taxe douane (€)</v>
      </c>
      <c r="H37" t="str">
        <f>XLOOKUP(F37,'Grille tarifaire import chine'!A:A,'Grille tarifaire import chine'!F:F,"",1)</f>
        <v>Prix de vente HT (€)</v>
      </c>
      <c r="I37" t="str">
        <f>XLOOKUP(F37,'Grille tarifaire import chine'!A:A,'Grille tarifaire import chine'!G:G,"",1)</f>
        <v>Prix de vente TTC (€)</v>
      </c>
      <c r="J37" t="str">
        <f>XLOOKUP(F37,'Grille tarifaire import chine'!A:A,'Grille tarifaire import chine'!I:I,"",1)</f>
        <v>Prix de vente HT (€)</v>
      </c>
      <c r="K37" t="str">
        <f>XLOOKUP(F37,'Grille tarifaire import chine'!A:A,'Grille tarifaire import chine'!J:J,"",1)</f>
        <v>Prix de vente TTC (€)</v>
      </c>
      <c r="M37">
        <f>Tableau1[[#This Row],[Qty commandé]]*Tableau1[[#This Row],[Poid (g/m)]]/1000</f>
        <v>0</v>
      </c>
    </row>
    <row r="38">
      <c r="C38" t="str">
        <v>#000036</v>
      </c>
      <c r="G38" t="str">
        <f>XLOOKUP(F38,'Grille tarifaire import chine'!A:A,'Grille tarifaire import chine'!D:D,"",1)</f>
        <v>taxe douane (€)</v>
      </c>
      <c r="H38" t="str">
        <f>XLOOKUP(F38,'Grille tarifaire import chine'!A:A,'Grille tarifaire import chine'!F:F,"",1)</f>
        <v>Prix de vente HT (€)</v>
      </c>
      <c r="I38" t="str">
        <f>XLOOKUP(F38,'Grille tarifaire import chine'!A:A,'Grille tarifaire import chine'!G:G,"",1)</f>
        <v>Prix de vente TTC (€)</v>
      </c>
      <c r="J38" t="str">
        <f>XLOOKUP(F38,'Grille tarifaire import chine'!A:A,'Grille tarifaire import chine'!I:I,"",1)</f>
        <v>Prix de vente HT (€)</v>
      </c>
      <c r="K38" t="str">
        <f>XLOOKUP(F38,'Grille tarifaire import chine'!A:A,'Grille tarifaire import chine'!J:J,"",1)</f>
        <v>Prix de vente TTC (€)</v>
      </c>
      <c r="M38">
        <f>Tableau1[[#This Row],[Qty commandé]]*Tableau1[[#This Row],[Poid (g/m)]]/1000</f>
        <v>0</v>
      </c>
    </row>
    <row r="39">
      <c r="C39" t="str">
        <v>#000037</v>
      </c>
      <c r="G39" t="str">
        <f>XLOOKUP(F39,'Grille tarifaire import chine'!A:A,'Grille tarifaire import chine'!D:D,"",1)</f>
        <v>taxe douane (€)</v>
      </c>
      <c r="H39" t="str">
        <f>XLOOKUP(F39,'Grille tarifaire import chine'!A:A,'Grille tarifaire import chine'!F:F,"",1)</f>
        <v>Prix de vente HT (€)</v>
      </c>
      <c r="I39" t="str">
        <f>XLOOKUP(F39,'Grille tarifaire import chine'!A:A,'Grille tarifaire import chine'!G:G,"",1)</f>
        <v>Prix de vente TTC (€)</v>
      </c>
      <c r="J39" t="str">
        <f>XLOOKUP(F39,'Grille tarifaire import chine'!A:A,'Grille tarifaire import chine'!I:I,"",1)</f>
        <v>Prix de vente HT (€)</v>
      </c>
      <c r="K39" t="str">
        <f>XLOOKUP(F39,'Grille tarifaire import chine'!A:A,'Grille tarifaire import chine'!J:J,"",1)</f>
        <v>Prix de vente TTC (€)</v>
      </c>
      <c r="M39">
        <f>Tableau1[[#This Row],[Qty commandé]]*Tableau1[[#This Row],[Poid (g/m)]]/1000</f>
        <v>0</v>
      </c>
    </row>
    <row r="40">
      <c r="C40" t="str">
        <v>#000038</v>
      </c>
      <c r="G40" t="str">
        <f>XLOOKUP(F40,'Grille tarifaire import chine'!A:A,'Grille tarifaire import chine'!D:D,"",1)</f>
        <v>taxe douane (€)</v>
      </c>
      <c r="H40" t="str">
        <f>XLOOKUP(F40,'Grille tarifaire import chine'!A:A,'Grille tarifaire import chine'!F:F,"",1)</f>
        <v>Prix de vente HT (€)</v>
      </c>
      <c r="I40" t="str">
        <f>XLOOKUP(F40,'Grille tarifaire import chine'!A:A,'Grille tarifaire import chine'!G:G,"",1)</f>
        <v>Prix de vente TTC (€)</v>
      </c>
      <c r="J40" t="str">
        <f>XLOOKUP(F40,'Grille tarifaire import chine'!A:A,'Grille tarifaire import chine'!I:I,"",1)</f>
        <v>Prix de vente HT (€)</v>
      </c>
      <c r="K40" t="str">
        <f>XLOOKUP(F40,'Grille tarifaire import chine'!A:A,'Grille tarifaire import chine'!J:J,"",1)</f>
        <v>Prix de vente TTC (€)</v>
      </c>
      <c r="M40">
        <f>Tableau1[[#This Row],[Qty commandé]]*Tableau1[[#This Row],[Poid (g/m)]]/1000</f>
        <v>0</v>
      </c>
    </row>
    <row r="41">
      <c r="C41" t="str">
        <v>#000039</v>
      </c>
      <c r="G41" t="str">
        <f>XLOOKUP(F41,'Grille tarifaire import chine'!A:A,'Grille tarifaire import chine'!D:D,"",1)</f>
        <v>taxe douane (€)</v>
      </c>
      <c r="H41" t="str">
        <f>XLOOKUP(F41,'Grille tarifaire import chine'!A:A,'Grille tarifaire import chine'!F:F,"",1)</f>
        <v>Prix de vente HT (€)</v>
      </c>
      <c r="I41" t="str">
        <f>XLOOKUP(F41,'Grille tarifaire import chine'!A:A,'Grille tarifaire import chine'!G:G,"",1)</f>
        <v>Prix de vente TTC (€)</v>
      </c>
      <c r="J41" t="str">
        <f>XLOOKUP(F41,'Grille tarifaire import chine'!A:A,'Grille tarifaire import chine'!I:I,"",1)</f>
        <v>Prix de vente HT (€)</v>
      </c>
      <c r="K41" t="str">
        <f>XLOOKUP(F41,'Grille tarifaire import chine'!A:A,'Grille tarifaire import chine'!J:J,"",1)</f>
        <v>Prix de vente TTC (€)</v>
      </c>
      <c r="M41">
        <f>Tableau1[[#This Row],[Qty commandé]]*Tableau1[[#This Row],[Poid (g/m)]]/1000</f>
        <v>0</v>
      </c>
    </row>
    <row r="42">
      <c r="C42" t="str">
        <v>#000040</v>
      </c>
      <c r="G42" t="str">
        <f>XLOOKUP(F42,'Grille tarifaire import chine'!A:A,'Grille tarifaire import chine'!D:D,"",1)</f>
        <v>taxe douane (€)</v>
      </c>
      <c r="H42" t="str">
        <f>XLOOKUP(F42,'Grille tarifaire import chine'!A:A,'Grille tarifaire import chine'!F:F,"",1)</f>
        <v>Prix de vente HT (€)</v>
      </c>
      <c r="I42" t="str">
        <f>XLOOKUP(F42,'Grille tarifaire import chine'!A:A,'Grille tarifaire import chine'!G:G,"",1)</f>
        <v>Prix de vente TTC (€)</v>
      </c>
      <c r="J42" t="str">
        <f>XLOOKUP(F42,'Grille tarifaire import chine'!A:A,'Grille tarifaire import chine'!I:I,"",1)</f>
        <v>Prix de vente HT (€)</v>
      </c>
      <c r="K42" t="str">
        <f>XLOOKUP(F42,'Grille tarifaire import chine'!A:A,'Grille tarifaire import chine'!J:J,"",1)</f>
        <v>Prix de vente TTC (€)</v>
      </c>
      <c r="M42">
        <f>Tableau1[[#This Row],[Qty commandé]]*Tableau1[[#This Row],[Poid (g/m)]]/1000</f>
        <v>0</v>
      </c>
    </row>
    <row r="43">
      <c r="C43" t="str">
        <v>#000041</v>
      </c>
      <c r="G43" t="str">
        <f>XLOOKUP(F43,'Grille tarifaire import chine'!A:A,'Grille tarifaire import chine'!D:D,"",1)</f>
        <v>taxe douane (€)</v>
      </c>
      <c r="H43" t="str">
        <f>XLOOKUP(F43,'Grille tarifaire import chine'!A:A,'Grille tarifaire import chine'!F:F,"",1)</f>
        <v>Prix de vente HT (€)</v>
      </c>
      <c r="I43" t="str">
        <f>XLOOKUP(F43,'Grille tarifaire import chine'!A:A,'Grille tarifaire import chine'!G:G,"",1)</f>
        <v>Prix de vente TTC (€)</v>
      </c>
      <c r="J43" t="str">
        <f>XLOOKUP(F43,'Grille tarifaire import chine'!A:A,'Grille tarifaire import chine'!I:I,"",1)</f>
        <v>Prix de vente HT (€)</v>
      </c>
      <c r="K43" t="str">
        <f>XLOOKUP(F43,'Grille tarifaire import chine'!A:A,'Grille tarifaire import chine'!J:J,"",1)</f>
        <v>Prix de vente TTC (€)</v>
      </c>
      <c r="M43">
        <f>Tableau1[[#This Row],[Qty commandé]]*Tableau1[[#This Row],[Poid (g/m)]]/1000</f>
        <v>0</v>
      </c>
    </row>
    <row r="44">
      <c r="C44" t="str">
        <v>#000042</v>
      </c>
      <c r="G44" t="str">
        <f>XLOOKUP(F44,'Grille tarifaire import chine'!A:A,'Grille tarifaire import chine'!D:D,"",1)</f>
        <v>taxe douane (€)</v>
      </c>
      <c r="H44" t="str">
        <f>XLOOKUP(F44,'Grille tarifaire import chine'!A:A,'Grille tarifaire import chine'!F:F,"",1)</f>
        <v>Prix de vente HT (€)</v>
      </c>
      <c r="I44" t="str">
        <f>XLOOKUP(F44,'Grille tarifaire import chine'!A:A,'Grille tarifaire import chine'!G:G,"",1)</f>
        <v>Prix de vente TTC (€)</v>
      </c>
      <c r="J44" t="str">
        <f>XLOOKUP(F44,'Grille tarifaire import chine'!A:A,'Grille tarifaire import chine'!I:I,"",1)</f>
        <v>Prix de vente HT (€)</v>
      </c>
      <c r="K44" t="str">
        <f>XLOOKUP(F44,'Grille tarifaire import chine'!A:A,'Grille tarifaire import chine'!J:J,"",1)</f>
        <v>Prix de vente TTC (€)</v>
      </c>
      <c r="M44">
        <f>Tableau1[[#This Row],[Qty commandé]]*Tableau1[[#This Row],[Poid (g/m)]]/1000</f>
        <v>0</v>
      </c>
    </row>
    <row r="45">
      <c r="C45" t="str">
        <v>#000043</v>
      </c>
      <c r="G45" t="str">
        <f>XLOOKUP(F45,'Grille tarifaire import chine'!A:A,'Grille tarifaire import chine'!D:D,"",1)</f>
        <v>taxe douane (€)</v>
      </c>
      <c r="H45" t="str">
        <f>XLOOKUP(F45,'Grille tarifaire import chine'!A:A,'Grille tarifaire import chine'!F:F,"",1)</f>
        <v>Prix de vente HT (€)</v>
      </c>
      <c r="I45" t="str">
        <f>XLOOKUP(F45,'Grille tarifaire import chine'!A:A,'Grille tarifaire import chine'!G:G,"",1)</f>
        <v>Prix de vente TTC (€)</v>
      </c>
      <c r="J45" t="str">
        <f>XLOOKUP(F45,'Grille tarifaire import chine'!A:A,'Grille tarifaire import chine'!I:I,"",1)</f>
        <v>Prix de vente HT (€)</v>
      </c>
      <c r="K45" t="str">
        <f>XLOOKUP(F45,'Grille tarifaire import chine'!A:A,'Grille tarifaire import chine'!J:J,"",1)</f>
        <v>Prix de vente TTC (€)</v>
      </c>
      <c r="M45">
        <f>Tableau1[[#This Row],[Qty commandé]]*Tableau1[[#This Row],[Poid (g/m)]]/1000</f>
        <v>0</v>
      </c>
    </row>
    <row r="46">
      <c r="C46" t="str">
        <v>#000044</v>
      </c>
      <c r="G46" t="str">
        <f>XLOOKUP(F46,'Grille tarifaire import chine'!A:A,'Grille tarifaire import chine'!D:D,"",1)</f>
        <v>taxe douane (€)</v>
      </c>
      <c r="H46" t="str">
        <f>XLOOKUP(F46,'Grille tarifaire import chine'!A:A,'Grille tarifaire import chine'!F:F,"",1)</f>
        <v>Prix de vente HT (€)</v>
      </c>
      <c r="I46" t="str">
        <f>XLOOKUP(F46,'Grille tarifaire import chine'!A:A,'Grille tarifaire import chine'!G:G,"",1)</f>
        <v>Prix de vente TTC (€)</v>
      </c>
      <c r="J46" t="str">
        <f>XLOOKUP(F46,'Grille tarifaire import chine'!A:A,'Grille tarifaire import chine'!I:I,"",1)</f>
        <v>Prix de vente HT (€)</v>
      </c>
      <c r="K46" t="str">
        <f>XLOOKUP(F46,'Grille tarifaire import chine'!A:A,'Grille tarifaire import chine'!J:J,"",1)</f>
        <v>Prix de vente TTC (€)</v>
      </c>
      <c r="M46">
        <f>Tableau1[[#This Row],[Qty commandé]]*Tableau1[[#This Row],[Poid (g/m)]]/1000</f>
        <v>0</v>
      </c>
    </row>
    <row r="47">
      <c r="C47" t="str">
        <v>#000045</v>
      </c>
      <c r="G47" t="str">
        <f>XLOOKUP(F47,'Grille tarifaire import chine'!A:A,'Grille tarifaire import chine'!D:D,"",1)</f>
        <v>taxe douane (€)</v>
      </c>
      <c r="H47" t="str">
        <f>XLOOKUP(F47,'Grille tarifaire import chine'!A:A,'Grille tarifaire import chine'!F:F,"",1)</f>
        <v>Prix de vente HT (€)</v>
      </c>
      <c r="I47" t="str">
        <f>XLOOKUP(F47,'Grille tarifaire import chine'!A:A,'Grille tarifaire import chine'!G:G,"",1)</f>
        <v>Prix de vente TTC (€)</v>
      </c>
      <c r="J47" t="str">
        <f>XLOOKUP(F47,'Grille tarifaire import chine'!A:A,'Grille tarifaire import chine'!I:I,"",1)</f>
        <v>Prix de vente HT (€)</v>
      </c>
      <c r="K47" t="str">
        <f>XLOOKUP(F47,'Grille tarifaire import chine'!A:A,'Grille tarifaire import chine'!J:J,"",1)</f>
        <v>Prix de vente TTC (€)</v>
      </c>
      <c r="M47">
        <f>Tableau1[[#This Row],[Qty commandé]]*Tableau1[[#This Row],[Poid (g/m)]]/1000</f>
        <v>0</v>
      </c>
    </row>
    <row r="48">
      <c r="C48" t="str">
        <v>#000046</v>
      </c>
      <c r="G48" t="str">
        <f>XLOOKUP(F48,'Grille tarifaire import chine'!A:A,'Grille tarifaire import chine'!D:D,"",1)</f>
        <v>taxe douane (€)</v>
      </c>
      <c r="H48" t="str">
        <f>XLOOKUP(F48,'Grille tarifaire import chine'!A:A,'Grille tarifaire import chine'!F:F,"",1)</f>
        <v>Prix de vente HT (€)</v>
      </c>
      <c r="I48" t="str">
        <f>XLOOKUP(F48,'Grille tarifaire import chine'!A:A,'Grille tarifaire import chine'!G:G,"",1)</f>
        <v>Prix de vente TTC (€)</v>
      </c>
      <c r="J48" t="str">
        <f>XLOOKUP(F48,'Grille tarifaire import chine'!A:A,'Grille tarifaire import chine'!I:I,"",1)</f>
        <v>Prix de vente HT (€)</v>
      </c>
      <c r="K48" t="str">
        <f>XLOOKUP(F48,'Grille tarifaire import chine'!A:A,'Grille tarifaire import chine'!J:J,"",1)</f>
        <v>Prix de vente TTC (€)</v>
      </c>
      <c r="M48">
        <f>Tableau1[[#This Row],[Qty commandé]]*Tableau1[[#This Row],[Poid (g/m)]]/1000</f>
        <v>0</v>
      </c>
    </row>
    <row r="49">
      <c r="C49" t="str">
        <v>#000047</v>
      </c>
      <c r="G49" t="str">
        <f>XLOOKUP(F49,'Grille tarifaire import chine'!A:A,'Grille tarifaire import chine'!D:D,"",1)</f>
        <v>taxe douane (€)</v>
      </c>
      <c r="H49" t="str">
        <f>XLOOKUP(F49,'Grille tarifaire import chine'!A:A,'Grille tarifaire import chine'!F:F,"",1)</f>
        <v>Prix de vente HT (€)</v>
      </c>
      <c r="I49" t="str">
        <f>XLOOKUP(F49,'Grille tarifaire import chine'!A:A,'Grille tarifaire import chine'!G:G,"",1)</f>
        <v>Prix de vente TTC (€)</v>
      </c>
      <c r="J49" t="str">
        <f>XLOOKUP(F49,'Grille tarifaire import chine'!A:A,'Grille tarifaire import chine'!I:I,"",1)</f>
        <v>Prix de vente HT (€)</v>
      </c>
      <c r="K49" t="str">
        <f>XLOOKUP(F49,'Grille tarifaire import chine'!A:A,'Grille tarifaire import chine'!J:J,"",1)</f>
        <v>Prix de vente TTC (€)</v>
      </c>
      <c r="M49">
        <f>Tableau1[[#This Row],[Qty commandé]]*Tableau1[[#This Row],[Poid (g/m)]]/1000</f>
        <v>0</v>
      </c>
    </row>
    <row r="50">
      <c r="C50" t="str">
        <v>#000048</v>
      </c>
      <c r="G50" t="str">
        <f>XLOOKUP(F50,'Grille tarifaire import chine'!A:A,'Grille tarifaire import chine'!D:D,"",1)</f>
        <v>taxe douane (€)</v>
      </c>
      <c r="H50" t="str">
        <f>XLOOKUP(F50,'Grille tarifaire import chine'!A:A,'Grille tarifaire import chine'!F:F,"",1)</f>
        <v>Prix de vente HT (€)</v>
      </c>
      <c r="I50" t="str">
        <f>XLOOKUP(F50,'Grille tarifaire import chine'!A:A,'Grille tarifaire import chine'!G:G,"",1)</f>
        <v>Prix de vente TTC (€)</v>
      </c>
      <c r="J50" t="str">
        <f>XLOOKUP(F50,'Grille tarifaire import chine'!A:A,'Grille tarifaire import chine'!I:I,"",1)</f>
        <v>Prix de vente HT (€)</v>
      </c>
      <c r="K50" t="str">
        <f>XLOOKUP(F50,'Grille tarifaire import chine'!A:A,'Grille tarifaire import chine'!J:J,"",1)</f>
        <v>Prix de vente TTC (€)</v>
      </c>
      <c r="M50">
        <f>Tableau1[[#This Row],[Qty commandé]]*Tableau1[[#This Row],[Poid (g/m)]]/1000</f>
        <v>0</v>
      </c>
    </row>
    <row r="51">
      <c r="C51" t="str">
        <v>#000049</v>
      </c>
      <c r="G51" t="str">
        <f>XLOOKUP(F51,'Grille tarifaire import chine'!A:A,'Grille tarifaire import chine'!D:D,"",1)</f>
        <v>taxe douane (€)</v>
      </c>
      <c r="H51" t="str">
        <f>XLOOKUP(F51,'Grille tarifaire import chine'!A:A,'Grille tarifaire import chine'!F:F,"",1)</f>
        <v>Prix de vente HT (€)</v>
      </c>
      <c r="I51" t="str">
        <f>XLOOKUP(F51,'Grille tarifaire import chine'!A:A,'Grille tarifaire import chine'!G:G,"",1)</f>
        <v>Prix de vente TTC (€)</v>
      </c>
      <c r="J51" t="str">
        <f>XLOOKUP(F51,'Grille tarifaire import chine'!A:A,'Grille tarifaire import chine'!I:I,"",1)</f>
        <v>Prix de vente HT (€)</v>
      </c>
      <c r="K51" t="str">
        <f>XLOOKUP(F51,'Grille tarifaire import chine'!A:A,'Grille tarifaire import chine'!J:J,"",1)</f>
        <v>Prix de vente TTC (€)</v>
      </c>
      <c r="M51">
        <f>Tableau1[[#This Row],[Qty commandé]]*Tableau1[[#This Row],[Poid (g/m)]]/1000</f>
        <v>0</v>
      </c>
    </row>
    <row r="52">
      <c r="C52" t="str">
        <v>#000050</v>
      </c>
      <c r="G52" t="str">
        <f>XLOOKUP(F52,'Grille tarifaire import chine'!A:A,'Grille tarifaire import chine'!D:D,"",1)</f>
        <v>taxe douane (€)</v>
      </c>
      <c r="H52" t="str">
        <f>XLOOKUP(F52,'Grille tarifaire import chine'!A:A,'Grille tarifaire import chine'!F:F,"",1)</f>
        <v>Prix de vente HT (€)</v>
      </c>
      <c r="I52" t="str">
        <f>XLOOKUP(F52,'Grille tarifaire import chine'!A:A,'Grille tarifaire import chine'!G:G,"",1)</f>
        <v>Prix de vente TTC (€)</v>
      </c>
      <c r="J52" t="str">
        <f>XLOOKUP(F52,'Grille tarifaire import chine'!A:A,'Grille tarifaire import chine'!I:I,"",1)</f>
        <v>Prix de vente HT (€)</v>
      </c>
      <c r="K52" t="str">
        <f>XLOOKUP(F52,'Grille tarifaire import chine'!A:A,'Grille tarifaire import chine'!J:J,"",1)</f>
        <v>Prix de vente TTC (€)</v>
      </c>
      <c r="M52">
        <f>Tableau1[[#This Row],[Qty commandé]]*Tableau1[[#This Row],[Poid (g/m)]]/1000</f>
        <v>0</v>
      </c>
    </row>
    <row r="53">
      <c r="C53" t="str">
        <v>#000051</v>
      </c>
      <c r="G53" t="str">
        <f>XLOOKUP(F53,'Grille tarifaire import chine'!A:A,'Grille tarifaire import chine'!D:D,"",1)</f>
        <v>taxe douane (€)</v>
      </c>
      <c r="H53" t="str">
        <f>XLOOKUP(F53,'Grille tarifaire import chine'!A:A,'Grille tarifaire import chine'!F:F,"",1)</f>
        <v>Prix de vente HT (€)</v>
      </c>
      <c r="I53" t="str">
        <f>XLOOKUP(F53,'Grille tarifaire import chine'!A:A,'Grille tarifaire import chine'!G:G,"",1)</f>
        <v>Prix de vente TTC (€)</v>
      </c>
      <c r="J53" t="str">
        <f>XLOOKUP(F53,'Grille tarifaire import chine'!A:A,'Grille tarifaire import chine'!I:I,"",1)</f>
        <v>Prix de vente HT (€)</v>
      </c>
      <c r="K53" t="str">
        <f>XLOOKUP(F53,'Grille tarifaire import chine'!A:A,'Grille tarifaire import chine'!J:J,"",1)</f>
        <v>Prix de vente TTC (€)</v>
      </c>
      <c r="M53">
        <f>Tableau1[[#This Row],[Qty commandé]]*Tableau1[[#This Row],[Poid (g/m)]]/1000</f>
        <v>0</v>
      </c>
    </row>
    <row r="54">
      <c r="C54" t="str">
        <v>#000052</v>
      </c>
      <c r="G54" t="str">
        <f>XLOOKUP(F54,'Grille tarifaire import chine'!A:A,'Grille tarifaire import chine'!D:D,"",1)</f>
        <v>taxe douane (€)</v>
      </c>
      <c r="H54" t="str">
        <f>XLOOKUP(F54,'Grille tarifaire import chine'!A:A,'Grille tarifaire import chine'!F:F,"",1)</f>
        <v>Prix de vente HT (€)</v>
      </c>
      <c r="I54" t="str">
        <f>XLOOKUP(F54,'Grille tarifaire import chine'!A:A,'Grille tarifaire import chine'!G:G,"",1)</f>
        <v>Prix de vente TTC (€)</v>
      </c>
      <c r="J54" t="str">
        <f>XLOOKUP(F54,'Grille tarifaire import chine'!A:A,'Grille tarifaire import chine'!I:I,"",1)</f>
        <v>Prix de vente HT (€)</v>
      </c>
      <c r="K54" t="str">
        <f>XLOOKUP(F54,'Grille tarifaire import chine'!A:A,'Grille tarifaire import chine'!J:J,"",1)</f>
        <v>Prix de vente TTC (€)</v>
      </c>
      <c r="M54">
        <f>Tableau1[[#This Row],[Qty commandé]]*Tableau1[[#This Row],[Poid (g/m)]]/1000</f>
        <v>0</v>
      </c>
    </row>
    <row r="55">
      <c r="C55" t="str">
        <v>#000053</v>
      </c>
      <c r="G55" t="str">
        <f>XLOOKUP(F55,'Grille tarifaire import chine'!A:A,'Grille tarifaire import chine'!D:D,"",1)</f>
        <v>taxe douane (€)</v>
      </c>
      <c r="H55" t="str">
        <f>XLOOKUP(F55,'Grille tarifaire import chine'!A:A,'Grille tarifaire import chine'!F:F,"",1)</f>
        <v>Prix de vente HT (€)</v>
      </c>
      <c r="I55" t="str">
        <f>XLOOKUP(F55,'Grille tarifaire import chine'!A:A,'Grille tarifaire import chine'!G:G,"",1)</f>
        <v>Prix de vente TTC (€)</v>
      </c>
      <c r="J55" t="str">
        <f>XLOOKUP(F55,'Grille tarifaire import chine'!A:A,'Grille tarifaire import chine'!I:I,"",1)</f>
        <v>Prix de vente HT (€)</v>
      </c>
      <c r="K55" t="str">
        <f>XLOOKUP(F55,'Grille tarifaire import chine'!A:A,'Grille tarifaire import chine'!J:J,"",1)</f>
        <v>Prix de vente TTC (€)</v>
      </c>
      <c r="M55">
        <f>Tableau1[[#This Row],[Qty commandé]]*Tableau1[[#This Row],[Poid (g/m)]]/1000</f>
        <v>0</v>
      </c>
    </row>
    <row r="56">
      <c r="C56" t="str">
        <v>#000054</v>
      </c>
      <c r="G56" t="str">
        <f>XLOOKUP(F56,'Grille tarifaire import chine'!A:A,'Grille tarifaire import chine'!D:D,"",1)</f>
        <v>taxe douane (€)</v>
      </c>
      <c r="H56" t="str">
        <f>XLOOKUP(F56,'Grille tarifaire import chine'!A:A,'Grille tarifaire import chine'!F:F,"",1)</f>
        <v>Prix de vente HT (€)</v>
      </c>
      <c r="I56" t="str">
        <f>XLOOKUP(F56,'Grille tarifaire import chine'!A:A,'Grille tarifaire import chine'!G:G,"",1)</f>
        <v>Prix de vente TTC (€)</v>
      </c>
      <c r="J56" t="str">
        <f>XLOOKUP(F56,'Grille tarifaire import chine'!A:A,'Grille tarifaire import chine'!I:I,"",1)</f>
        <v>Prix de vente HT (€)</v>
      </c>
      <c r="K56" t="str">
        <f>XLOOKUP(F56,'Grille tarifaire import chine'!A:A,'Grille tarifaire import chine'!J:J,"",1)</f>
        <v>Prix de vente TTC (€)</v>
      </c>
      <c r="M56">
        <f>Tableau1[[#This Row],[Qty commandé]]*Tableau1[[#This Row],[Poid (g/m)]]/1000</f>
        <v>0</v>
      </c>
    </row>
    <row r="57">
      <c r="C57" t="str">
        <v>#000055</v>
      </c>
      <c r="G57" t="str">
        <f>XLOOKUP(F57,'Grille tarifaire import chine'!A:A,'Grille tarifaire import chine'!D:D,"",1)</f>
        <v>taxe douane (€)</v>
      </c>
      <c r="H57" t="str">
        <f>XLOOKUP(F57,'Grille tarifaire import chine'!A:A,'Grille tarifaire import chine'!F:F,"",1)</f>
        <v>Prix de vente HT (€)</v>
      </c>
      <c r="I57" t="str">
        <f>XLOOKUP(F57,'Grille tarifaire import chine'!A:A,'Grille tarifaire import chine'!G:G,"",1)</f>
        <v>Prix de vente TTC (€)</v>
      </c>
      <c r="J57" t="str">
        <f>XLOOKUP(F57,'Grille tarifaire import chine'!A:A,'Grille tarifaire import chine'!I:I,"",1)</f>
        <v>Prix de vente HT (€)</v>
      </c>
      <c r="K57" t="str">
        <f>XLOOKUP(F57,'Grille tarifaire import chine'!A:A,'Grille tarifaire import chine'!J:J,"",1)</f>
        <v>Prix de vente TTC (€)</v>
      </c>
      <c r="M57">
        <f>Tableau1[[#This Row],[Qty commandé]]*Tableau1[[#This Row],[Poid (g/m)]]/1000</f>
        <v>0</v>
      </c>
    </row>
    <row r="58">
      <c r="C58" t="str">
        <v>#000056</v>
      </c>
      <c r="G58" t="str">
        <f>XLOOKUP(F58,'Grille tarifaire import chine'!A:A,'Grille tarifaire import chine'!D:D,"",1)</f>
        <v>taxe douane (€)</v>
      </c>
      <c r="H58" t="str">
        <f>XLOOKUP(F58,'Grille tarifaire import chine'!A:A,'Grille tarifaire import chine'!F:F,"",1)</f>
        <v>Prix de vente HT (€)</v>
      </c>
      <c r="I58" t="str">
        <f>XLOOKUP(F58,'Grille tarifaire import chine'!A:A,'Grille tarifaire import chine'!G:G,"",1)</f>
        <v>Prix de vente TTC (€)</v>
      </c>
      <c r="J58" t="str">
        <f>XLOOKUP(F58,'Grille tarifaire import chine'!A:A,'Grille tarifaire import chine'!I:I,"",1)</f>
        <v>Prix de vente HT (€)</v>
      </c>
      <c r="K58" t="str">
        <f>XLOOKUP(F58,'Grille tarifaire import chine'!A:A,'Grille tarifaire import chine'!J:J,"",1)</f>
        <v>Prix de vente TTC (€)</v>
      </c>
      <c r="M58">
        <f>Tableau1[[#This Row],[Qty commandé]]*Tableau1[[#This Row],[Poid (g/m)]]/1000</f>
        <v>0</v>
      </c>
    </row>
    <row r="59">
      <c r="C59" t="str">
        <v>#000057</v>
      </c>
      <c r="G59" t="str">
        <f>XLOOKUP(F59,'Grille tarifaire import chine'!A:A,'Grille tarifaire import chine'!D:D,"",1)</f>
        <v>taxe douane (€)</v>
      </c>
      <c r="H59" t="str">
        <f>XLOOKUP(F59,'Grille tarifaire import chine'!A:A,'Grille tarifaire import chine'!F:F,"",1)</f>
        <v>Prix de vente HT (€)</v>
      </c>
      <c r="I59" t="str">
        <f>XLOOKUP(F59,'Grille tarifaire import chine'!A:A,'Grille tarifaire import chine'!G:G,"",1)</f>
        <v>Prix de vente TTC (€)</v>
      </c>
      <c r="J59" t="str">
        <f>XLOOKUP(F59,'Grille tarifaire import chine'!A:A,'Grille tarifaire import chine'!I:I,"",1)</f>
        <v>Prix de vente HT (€)</v>
      </c>
      <c r="K59" t="str">
        <f>XLOOKUP(F59,'Grille tarifaire import chine'!A:A,'Grille tarifaire import chine'!J:J,"",1)</f>
        <v>Prix de vente TTC (€)</v>
      </c>
      <c r="M59">
        <f>Tableau1[[#This Row],[Qty commandé]]*Tableau1[[#This Row],[Poid (g/m)]]/1000</f>
        <v>0</v>
      </c>
    </row>
    <row r="60">
      <c r="C60" t="str">
        <v>#000058</v>
      </c>
      <c r="G60" t="str">
        <f>XLOOKUP(F60,'Grille tarifaire import chine'!A:A,'Grille tarifaire import chine'!D:D,"",1)</f>
        <v>taxe douane (€)</v>
      </c>
      <c r="H60" t="str">
        <f>XLOOKUP(F60,'Grille tarifaire import chine'!A:A,'Grille tarifaire import chine'!F:F,"",1)</f>
        <v>Prix de vente HT (€)</v>
      </c>
      <c r="I60" t="str">
        <f>XLOOKUP(F60,'Grille tarifaire import chine'!A:A,'Grille tarifaire import chine'!G:G,"",1)</f>
        <v>Prix de vente TTC (€)</v>
      </c>
      <c r="J60" t="str">
        <f>XLOOKUP(F60,'Grille tarifaire import chine'!A:A,'Grille tarifaire import chine'!I:I,"",1)</f>
        <v>Prix de vente HT (€)</v>
      </c>
      <c r="K60" t="str">
        <f>XLOOKUP(F60,'Grille tarifaire import chine'!A:A,'Grille tarifaire import chine'!J:J,"",1)</f>
        <v>Prix de vente TTC (€)</v>
      </c>
      <c r="M60">
        <f>Tableau1[[#This Row],[Qty commandé]]*Tableau1[[#This Row],[Poid (g/m)]]/1000</f>
        <v>0</v>
      </c>
    </row>
    <row r="61">
      <c r="C61" t="str">
        <v>#000059</v>
      </c>
      <c r="G61" t="str">
        <f>XLOOKUP(F61,'Grille tarifaire import chine'!A:A,'Grille tarifaire import chine'!D:D,"",1)</f>
        <v>taxe douane (€)</v>
      </c>
      <c r="H61" t="str">
        <f>XLOOKUP(F61,'Grille tarifaire import chine'!A:A,'Grille tarifaire import chine'!F:F,"",1)</f>
        <v>Prix de vente HT (€)</v>
      </c>
      <c r="I61" t="str">
        <f>XLOOKUP(F61,'Grille tarifaire import chine'!A:A,'Grille tarifaire import chine'!G:G,"",1)</f>
        <v>Prix de vente TTC (€)</v>
      </c>
      <c r="J61" t="str">
        <f>XLOOKUP(F61,'Grille tarifaire import chine'!A:A,'Grille tarifaire import chine'!I:I,"",1)</f>
        <v>Prix de vente HT (€)</v>
      </c>
      <c r="K61" t="str">
        <f>XLOOKUP(F61,'Grille tarifaire import chine'!A:A,'Grille tarifaire import chine'!J:J,"",1)</f>
        <v>Prix de vente TTC (€)</v>
      </c>
      <c r="M61">
        <f>Tableau1[[#This Row],[Qty commandé]]*Tableau1[[#This Row],[Poid (g/m)]]/1000</f>
        <v>0</v>
      </c>
    </row>
    <row r="62">
      <c r="C62" t="str">
        <v>#000060</v>
      </c>
      <c r="G62" t="str">
        <f>XLOOKUP(F62,'Grille tarifaire import chine'!A:A,'Grille tarifaire import chine'!D:D,"",1)</f>
        <v>taxe douane (€)</v>
      </c>
      <c r="H62" t="str">
        <f>XLOOKUP(F62,'Grille tarifaire import chine'!A:A,'Grille tarifaire import chine'!F:F,"",1)</f>
        <v>Prix de vente HT (€)</v>
      </c>
      <c r="I62" t="str">
        <f>XLOOKUP(F62,'Grille tarifaire import chine'!A:A,'Grille tarifaire import chine'!G:G,"",1)</f>
        <v>Prix de vente TTC (€)</v>
      </c>
      <c r="J62" t="str">
        <f>XLOOKUP(F62,'Grille tarifaire import chine'!A:A,'Grille tarifaire import chine'!I:I,"",1)</f>
        <v>Prix de vente HT (€)</v>
      </c>
      <c r="K62" t="str">
        <f>XLOOKUP(F62,'Grille tarifaire import chine'!A:A,'Grille tarifaire import chine'!J:J,"",1)</f>
        <v>Prix de vente TTC (€)</v>
      </c>
      <c r="M62">
        <f>Tableau1[[#This Row],[Qty commandé]]*Tableau1[[#This Row],[Poid (g/m)]]/1000</f>
        <v>0</v>
      </c>
    </row>
    <row r="63">
      <c r="C63" t="str">
        <v>#000061</v>
      </c>
      <c r="G63" t="str">
        <f>XLOOKUP(F63,'Grille tarifaire import chine'!A:A,'Grille tarifaire import chine'!D:D,"",1)</f>
        <v>taxe douane (€)</v>
      </c>
      <c r="H63" t="str">
        <f>XLOOKUP(F63,'Grille tarifaire import chine'!A:A,'Grille tarifaire import chine'!F:F,"",1)</f>
        <v>Prix de vente HT (€)</v>
      </c>
      <c r="I63" t="str">
        <f>XLOOKUP(F63,'Grille tarifaire import chine'!A:A,'Grille tarifaire import chine'!G:G,"",1)</f>
        <v>Prix de vente TTC (€)</v>
      </c>
      <c r="J63" t="str">
        <f>XLOOKUP(F63,'Grille tarifaire import chine'!A:A,'Grille tarifaire import chine'!I:I,"",1)</f>
        <v>Prix de vente HT (€)</v>
      </c>
      <c r="K63" t="str">
        <f>XLOOKUP(F63,'Grille tarifaire import chine'!A:A,'Grille tarifaire import chine'!J:J,"",1)</f>
        <v>Prix de vente TTC (€)</v>
      </c>
      <c r="M63">
        <f>Tableau1[[#This Row],[Qty commandé]]*Tableau1[[#This Row],[Poid (g/m)]]/1000</f>
        <v>0</v>
      </c>
    </row>
    <row r="64">
      <c r="C64" t="str">
        <v>#000062</v>
      </c>
      <c r="G64" t="str">
        <f>XLOOKUP(F64,'Grille tarifaire import chine'!A:A,'Grille tarifaire import chine'!D:D,"",1)</f>
        <v>taxe douane (€)</v>
      </c>
      <c r="H64" t="str">
        <f>XLOOKUP(F64,'Grille tarifaire import chine'!A:A,'Grille tarifaire import chine'!F:F,"",1)</f>
        <v>Prix de vente HT (€)</v>
      </c>
      <c r="I64" t="str">
        <f>XLOOKUP(F64,'Grille tarifaire import chine'!A:A,'Grille tarifaire import chine'!G:G,"",1)</f>
        <v>Prix de vente TTC (€)</v>
      </c>
      <c r="J64" t="str">
        <f>XLOOKUP(F64,'Grille tarifaire import chine'!A:A,'Grille tarifaire import chine'!I:I,"",1)</f>
        <v>Prix de vente HT (€)</v>
      </c>
      <c r="K64" t="str">
        <f>XLOOKUP(F64,'Grille tarifaire import chine'!A:A,'Grille tarifaire import chine'!J:J,"",1)</f>
        <v>Prix de vente TTC (€)</v>
      </c>
      <c r="M64">
        <f>Tableau1[[#This Row],[Qty commandé]]*Tableau1[[#This Row],[Poid (g/m)]]/1000</f>
        <v>0</v>
      </c>
    </row>
    <row r="65">
      <c r="C65" t="str">
        <v>#000063</v>
      </c>
      <c r="G65" t="str">
        <f>XLOOKUP(F65,'Grille tarifaire import chine'!A:A,'Grille tarifaire import chine'!D:D,"",1)</f>
        <v>taxe douane (€)</v>
      </c>
      <c r="H65" t="str">
        <f>XLOOKUP(F65,'Grille tarifaire import chine'!A:A,'Grille tarifaire import chine'!F:F,"",1)</f>
        <v>Prix de vente HT (€)</v>
      </c>
      <c r="I65" t="str">
        <f>XLOOKUP(F65,'Grille tarifaire import chine'!A:A,'Grille tarifaire import chine'!G:G,"",1)</f>
        <v>Prix de vente TTC (€)</v>
      </c>
      <c r="J65" t="str">
        <f>XLOOKUP(F65,'Grille tarifaire import chine'!A:A,'Grille tarifaire import chine'!I:I,"",1)</f>
        <v>Prix de vente HT (€)</v>
      </c>
      <c r="K65" t="str">
        <f>XLOOKUP(F65,'Grille tarifaire import chine'!A:A,'Grille tarifaire import chine'!J:J,"",1)</f>
        <v>Prix de vente TTC (€)</v>
      </c>
      <c r="M65">
        <f>Tableau1[[#This Row],[Qty commandé]]*Tableau1[[#This Row],[Poid (g/m)]]/1000</f>
        <v>0</v>
      </c>
    </row>
    <row r="66">
      <c r="C66" t="str">
        <v>#000064</v>
      </c>
      <c r="G66" t="str">
        <f>XLOOKUP(F66,'Grille tarifaire import chine'!A:A,'Grille tarifaire import chine'!D:D,"",1)</f>
        <v>taxe douane (€)</v>
      </c>
      <c r="H66" t="str">
        <f>XLOOKUP(F66,'Grille tarifaire import chine'!A:A,'Grille tarifaire import chine'!F:F,"",1)</f>
        <v>Prix de vente HT (€)</v>
      </c>
      <c r="I66" t="str">
        <f>XLOOKUP(F66,'Grille tarifaire import chine'!A:A,'Grille tarifaire import chine'!G:G,"",1)</f>
        <v>Prix de vente TTC (€)</v>
      </c>
      <c r="J66" t="str">
        <f>XLOOKUP(F66,'Grille tarifaire import chine'!A:A,'Grille tarifaire import chine'!I:I,"",1)</f>
        <v>Prix de vente HT (€)</v>
      </c>
      <c r="K66" t="str">
        <f>XLOOKUP(F66,'Grille tarifaire import chine'!A:A,'Grille tarifaire import chine'!J:J,"",1)</f>
        <v>Prix de vente TTC (€)</v>
      </c>
      <c r="M66">
        <f>Tableau1[[#This Row],[Qty commandé]]*Tableau1[[#This Row],[Poid (g/m)]]/1000</f>
        <v>0</v>
      </c>
    </row>
    <row r="67">
      <c r="C67" t="str">
        <v>#000065</v>
      </c>
      <c r="G67" t="str">
        <f>XLOOKUP(F67,'Grille tarifaire import chine'!A:A,'Grille tarifaire import chine'!D:D,"",1)</f>
        <v>taxe douane (€)</v>
      </c>
      <c r="H67" t="str">
        <f>XLOOKUP(F67,'Grille tarifaire import chine'!A:A,'Grille tarifaire import chine'!F:F,"",1)</f>
        <v>Prix de vente HT (€)</v>
      </c>
      <c r="I67" t="str">
        <f>XLOOKUP(F67,'Grille tarifaire import chine'!A:A,'Grille tarifaire import chine'!G:G,"",1)</f>
        <v>Prix de vente TTC (€)</v>
      </c>
      <c r="J67" t="str">
        <f>XLOOKUP(F67,'Grille tarifaire import chine'!A:A,'Grille tarifaire import chine'!I:I,"",1)</f>
        <v>Prix de vente HT (€)</v>
      </c>
      <c r="K67" t="str">
        <f>XLOOKUP(F67,'Grille tarifaire import chine'!A:A,'Grille tarifaire import chine'!J:J,"",1)</f>
        <v>Prix de vente TTC (€)</v>
      </c>
      <c r="M67">
        <f>Tableau1[[#This Row],[Qty commandé]]*Tableau1[[#This Row],[Poid (g/m)]]/1000</f>
        <v>0</v>
      </c>
    </row>
  </sheetData>
  <mergeCells count="3">
    <mergeCell ref="H1:I1"/>
    <mergeCell ref="J1:K1"/>
    <mergeCell ref="L1:M1"/>
  </mergeCells>
  <pageMargins left="0.7" right="0.7" top="0.75" bottom="0.75" header="0.3" footer="0.3"/>
  <ignoredErrors>
    <ignoredError numberStoredAsText="1" sqref="A1:M1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2"/>
  <sheetViews>
    <sheetView workbookViewId="0" rightToLeft="0"/>
  </sheetViews>
  <sheetData>
    <row r="1">
      <c r="H1" t="str">
        <v>Particuliers</v>
      </c>
      <c r="J1" t="str">
        <v>Pro</v>
      </c>
    </row>
    <row r="2">
      <c r="A2" t="str">
        <v>Photo</v>
      </c>
      <c r="B2" t="str">
        <v>Dénomination</v>
      </c>
      <c r="C2" t="str">
        <v>ID</v>
      </c>
      <c r="D2" t="str">
        <v>Longueur (cm)</v>
      </c>
      <c r="E2" t="str">
        <v>Largeur (cm)</v>
      </c>
      <c r="F2" t="str">
        <v>Poid (g/m)</v>
      </c>
      <c r="G2" t="str">
        <v>Prix d'achat (€)</v>
      </c>
      <c r="H2" t="str">
        <v>Prix de vente HT (€)</v>
      </c>
      <c r="I2" t="str">
        <v>Prix de vente TTC (€)</v>
      </c>
      <c r="J2" t="str">
        <v>Prix de vente HT (€)2</v>
      </c>
      <c r="K2" t="str">
        <v>Prix de vente TTC (€)2</v>
      </c>
    </row>
    <row r="3">
      <c r="B3" t="str">
        <v xml:space="preserve"> Shampoing auto-séchant bateau – Perloban NAUTIC CLEAN 01 </v>
      </c>
      <c r="C3" t="str">
        <v>#000101</v>
      </c>
      <c r="G3">
        <f>Tableau13[[#This Row],[Prix de vente TTC (€)]]/2</f>
        <v>9.5</v>
      </c>
      <c r="H3">
        <f>Tableau13[[#This Row],[Prix de vente TTC (€)]]/1.2</f>
        <v>15.833333333333334</v>
      </c>
      <c r="I3">
        <v>19</v>
      </c>
      <c r="J3">
        <f>Tableau13[[#This Row],[Prix d''achat (€)]]*1.5</f>
        <v>14.25</v>
      </c>
      <c r="K3">
        <f>Tableau13[[#This Row],[Prix de vente HT (€)2]]*1.2</f>
        <v>17.099999999999998</v>
      </c>
    </row>
    <row r="4">
      <c r="B4" t="str">
        <v xml:space="preserve"> 	Déjaunissant coques &amp; coulures de rouille – NAUTIC CLEAN 02 </v>
      </c>
      <c r="C4" t="str">
        <v>#000102</v>
      </c>
      <c r="G4">
        <f>Tableau13[[#This Row],[Prix de vente TTC (€)]]/2</f>
        <v>8.15</v>
      </c>
      <c r="H4">
        <f>Tableau13[[#This Row],[Prix de vente TTC (€)]]/1.2</f>
        <v>13.583333333333334</v>
      </c>
      <c r="I4">
        <v>16.3</v>
      </c>
      <c r="J4">
        <f>Tableau13[[#This Row],[Prix d''achat (€)]]*1.5</f>
        <v>12.225000000000001</v>
      </c>
      <c r="K4">
        <f>Tableau13[[#This Row],[Prix de vente HT (€)2]]*1.2</f>
        <v>14.670000000000002</v>
      </c>
    </row>
    <row r="5">
      <c r="B5" t="str">
        <v xml:space="preserve"> 	Nettoyant défenses &amp; pare-battages bateau – NAUTIC CLEAN 03 </v>
      </c>
      <c r="C5" t="str">
        <v>#000103</v>
      </c>
      <c r="G5">
        <f>Tableau13[[#This Row],[Prix de vente TTC (€)]]/2</f>
        <v>10.65</v>
      </c>
      <c r="H5">
        <f>Tableau13[[#This Row],[Prix de vente TTC (€)]]/1.2</f>
        <v>17.75</v>
      </c>
      <c r="I5">
        <v>21.3</v>
      </c>
      <c r="J5">
        <f>Tableau13[[#This Row],[Prix d''achat (€)]]*1.5</f>
        <v>15.975000000000001</v>
      </c>
      <c r="K5">
        <f>Tableau13[[#This Row],[Prix de vente HT (€)2]]*1.2</f>
        <v>19.17</v>
      </c>
    </row>
    <row r="6">
      <c r="B6" t="str">
        <v xml:space="preserve">Shampooing nano-cire bateau – NAUTIC CLEAN 06 </v>
      </c>
      <c r="C6" t="str">
        <v>#000104</v>
      </c>
      <c r="G6">
        <f>Tableau13[[#This Row],[Prix de vente TTC (€)]]/2</f>
        <v>9.495</v>
      </c>
      <c r="H6">
        <f>Tableau13[[#This Row],[Prix de vente TTC (€)]]/1.2</f>
        <v>15.825</v>
      </c>
      <c r="I6">
        <v>18.99</v>
      </c>
      <c r="J6">
        <f>Tableau13[[#This Row],[Prix d''achat (€)]]*1.5</f>
        <v>14.2425</v>
      </c>
      <c r="K6">
        <f>Tableau13[[#This Row],[Prix de vente HT (€)2]]*1.2</f>
        <v>17.090999999999998</v>
      </c>
    </row>
    <row r="7">
      <c r="B7" t="str">
        <v xml:space="preserve"> 	Nettoyant pneumatiques bateau – NAUTIC CLEAN 07 </v>
      </c>
      <c r="C7" t="str">
        <v>#000105</v>
      </c>
      <c r="G7">
        <f>Tableau13[[#This Row],[Prix de vente TTC (€)]]/2</f>
        <v>13.815</v>
      </c>
      <c r="H7">
        <f>Tableau13[[#This Row],[Prix de vente TTC (€)]]/1.2</f>
        <v>23.025</v>
      </c>
      <c r="I7">
        <v>27.63</v>
      </c>
      <c r="J7">
        <f>Tableau13[[#This Row],[Prix d''achat (€)]]*1.5</f>
        <v>20.7225</v>
      </c>
      <c r="K7">
        <f>Tableau13[[#This Row],[Prix de vente HT (€)2]]*1.2</f>
        <v>24.867</v>
      </c>
    </row>
    <row r="8">
      <c r="B8" t="str">
        <v xml:space="preserve">Protection polymère pneumatiques bateau – NAUTIC CLEAN 08 </v>
      </c>
      <c r="C8" t="str">
        <v>#000106</v>
      </c>
      <c r="G8">
        <f>Tableau13[[#This Row],[Prix de vente TTC (€)]]/2</f>
        <v>13.645</v>
      </c>
      <c r="H8">
        <f>Tableau13[[#This Row],[Prix de vente TTC (€)]]/1.2</f>
        <v>22.741666666666667</v>
      </c>
      <c r="I8">
        <v>27.29</v>
      </c>
      <c r="J8">
        <f>Tableau13[[#This Row],[Prix d''achat (€)]]*1.5</f>
        <v>20.4675</v>
      </c>
      <c r="K8">
        <f>Tableau13[[#This Row],[Prix de vente HT (€)2]]*1.2</f>
        <v>24.561</v>
      </c>
    </row>
    <row r="9">
      <c r="B9" t="str">
        <v xml:space="preserve"> 	Nettoyant professionnel universel bateau – Nautic Clean 09 </v>
      </c>
      <c r="C9" t="str">
        <v>#000107</v>
      </c>
      <c r="G9">
        <f>Tableau13[[#This Row],[Prix de vente TTC (€)]]/2</f>
        <v>6.955</v>
      </c>
      <c r="H9">
        <f>Tableau13[[#This Row],[Prix de vente TTC (€)]]/1.2</f>
        <v>11.591666666666667</v>
      </c>
      <c r="I9">
        <v>13.91</v>
      </c>
      <c r="J9">
        <f>Tableau13[[#This Row],[Prix d''achat (€)]]*1.5</f>
        <v>10.432500000000001</v>
      </c>
      <c r="K9">
        <f>Tableau13[[#This Row],[Prix de vente HT (€)2]]*1.2</f>
        <v>12.519</v>
      </c>
    </row>
    <row r="10">
      <c r="B10" t="str">
        <v xml:space="preserve">Cire express bateau – NAUTIC CLEAN 10 </v>
      </c>
      <c r="C10" t="str">
        <v>#000108</v>
      </c>
      <c r="G10">
        <f>Tableau13[[#This Row],[Prix de vente TTC (€)]]/2</f>
        <v>10.19</v>
      </c>
      <c r="H10">
        <f>Tableau13[[#This Row],[Prix de vente TTC (€)]]/1.2</f>
        <v>16.983333333333334</v>
      </c>
      <c r="I10">
        <v>20.38</v>
      </c>
      <c r="J10">
        <f>Tableau13[[#This Row],[Prix d''achat (€)]]*1.5</f>
        <v>15.285</v>
      </c>
      <c r="K10">
        <f>Tableau13[[#This Row],[Prix de vente HT (€)2]]*1.2</f>
        <v>18.342</v>
      </c>
    </row>
    <row r="11">
      <c r="B11" t="str">
        <v xml:space="preserve">Gel dérouillant passivant inox – NAUTIC CLEAN 14 </v>
      </c>
      <c r="C11" t="str">
        <v>#000109</v>
      </c>
      <c r="G11">
        <f>Tableau13[[#This Row],[Prix de vente TTC (€)]]/2</f>
        <v>8.25</v>
      </c>
      <c r="H11">
        <f>Tableau13[[#This Row],[Prix de vente TTC (€)]]/1.2</f>
        <v>13.75</v>
      </c>
      <c r="I11">
        <v>16.5</v>
      </c>
      <c r="J11">
        <f>Tableau13[[#This Row],[Prix d''achat (€)]]*1.5</f>
        <v>12.375</v>
      </c>
      <c r="K11">
        <f>Tableau13[[#This Row],[Prix de vente HT (€)2]]*1.2</f>
        <v>14.85</v>
      </c>
    </row>
    <row r="12">
      <c r="B12" t="str">
        <v xml:space="preserve"> 	Polish métaux bateau – NAUTIC CLEAN 23 </v>
      </c>
      <c r="C12" t="str">
        <v>#000110</v>
      </c>
      <c r="G12">
        <f>Tableau13[[#This Row],[Prix de vente TTC (€)]]/2</f>
        <v>6.845</v>
      </c>
      <c r="H12">
        <f>Tableau13[[#This Row],[Prix de vente TTC (€)]]/1.2</f>
        <v>11.408333333333333</v>
      </c>
      <c r="I12">
        <v>13.69</v>
      </c>
      <c r="J12">
        <f>Tableau13[[#This Row],[Prix d''achat (€)]]*1.5</f>
        <v>10.2675</v>
      </c>
      <c r="K12">
        <f>Tableau13[[#This Row],[Prix de vente HT (€)2]]*1.2</f>
        <v>12.321</v>
      </c>
    </row>
    <row r="13">
      <c r="C13" t="str">
        <v>#000111</v>
      </c>
      <c r="G13">
        <f>Tableau13[[#This Row],[Prix de vente TTC (€)]]/2</f>
        <v>0</v>
      </c>
      <c r="H13">
        <f>Tableau13[[#This Row],[Prix de vente TTC (€)]]/1.2</f>
        <v>0</v>
      </c>
      <c r="J13">
        <f>Tableau13[[#This Row],[Prix d''achat (€)]]*1.5</f>
        <v>0</v>
      </c>
      <c r="K13">
        <f>Tableau13[[#This Row],[Prix de vente HT (€)2]]*1.2</f>
        <v>0</v>
      </c>
    </row>
    <row r="14">
      <c r="C14" t="str">
        <v>#000112</v>
      </c>
      <c r="G14">
        <f>Tableau13[[#This Row],[Prix de vente TTC (€)]]/2</f>
        <v>0</v>
      </c>
      <c r="H14">
        <f>Tableau13[[#This Row],[Prix de vente TTC (€)]]/1.2</f>
        <v>0</v>
      </c>
      <c r="J14">
        <f>Tableau13[[#This Row],[Prix d''achat (€)]]*1.5</f>
        <v>0</v>
      </c>
      <c r="K14">
        <f>Tableau13[[#This Row],[Prix de vente HT (€)2]]*1.2</f>
        <v>0</v>
      </c>
    </row>
    <row r="15">
      <c r="C15" t="str">
        <v>#000113</v>
      </c>
      <c r="G15">
        <f>Tableau13[[#This Row],[Prix de vente TTC (€)]]/2</f>
        <v>0</v>
      </c>
      <c r="H15">
        <f>Tableau13[[#This Row],[Prix de vente TTC (€)]]/1.2</f>
        <v>0</v>
      </c>
      <c r="J15">
        <f>Tableau13[[#This Row],[Prix d''achat (€)]]*1.5</f>
        <v>0</v>
      </c>
      <c r="K15">
        <f>Tableau13[[#This Row],[Prix de vente HT (€)2]]*1.2</f>
        <v>0</v>
      </c>
    </row>
    <row r="16">
      <c r="C16" t="str">
        <v>#000114</v>
      </c>
      <c r="G16">
        <f>Tableau13[[#This Row],[Prix de vente TTC (€)]]/2</f>
        <v>0</v>
      </c>
      <c r="H16">
        <f>Tableau13[[#This Row],[Prix de vente TTC (€)]]/1.2</f>
        <v>0</v>
      </c>
      <c r="J16">
        <f>Tableau13[[#This Row],[Prix d''achat (€)]]*1.5</f>
        <v>0</v>
      </c>
      <c r="K16">
        <f>Tableau13[[#This Row],[Prix de vente HT (€)2]]*1.2</f>
        <v>0</v>
      </c>
    </row>
    <row r="17">
      <c r="C17" t="str">
        <v>#000115</v>
      </c>
      <c r="G17">
        <f>Tableau13[[#This Row],[Prix de vente TTC (€)]]/2</f>
        <v>0</v>
      </c>
      <c r="H17">
        <f>Tableau13[[#This Row],[Prix de vente TTC (€)]]/1.2</f>
        <v>0</v>
      </c>
      <c r="J17">
        <f>Tableau13[[#This Row],[Prix d''achat (€)]]*1.5</f>
        <v>0</v>
      </c>
      <c r="K17">
        <f>Tableau13[[#This Row],[Prix de vente HT (€)2]]*1.2</f>
        <v>0</v>
      </c>
    </row>
    <row r="18">
      <c r="C18" t="str">
        <v>#000116</v>
      </c>
      <c r="G18">
        <f>Tableau13[[#This Row],[Prix de vente TTC (€)]]/2</f>
        <v>0</v>
      </c>
      <c r="H18">
        <f>Tableau13[[#This Row],[Prix de vente TTC (€)]]/1.2</f>
        <v>0</v>
      </c>
      <c r="J18">
        <f>Tableau13[[#This Row],[Prix d''achat (€)]]*1.5</f>
        <v>0</v>
      </c>
      <c r="K18">
        <f>Tableau13[[#This Row],[Prix de vente HT (€)2]]*1.2</f>
        <v>0</v>
      </c>
    </row>
    <row r="19">
      <c r="C19" t="str">
        <v>#000117</v>
      </c>
      <c r="G19">
        <f>Tableau13[[#This Row],[Prix de vente TTC (€)]]/2</f>
        <v>0</v>
      </c>
      <c r="H19">
        <f>Tableau13[[#This Row],[Prix de vente TTC (€)]]/1.2</f>
        <v>0</v>
      </c>
      <c r="J19">
        <f>Tableau13[[#This Row],[Prix d''achat (€)]]*1.5</f>
        <v>0</v>
      </c>
      <c r="K19">
        <f>Tableau13[[#This Row],[Prix de vente HT (€)2]]*1.2</f>
        <v>0</v>
      </c>
    </row>
    <row r="20">
      <c r="C20" t="str">
        <v>#000118</v>
      </c>
      <c r="G20">
        <f>Tableau13[[#This Row],[Prix de vente TTC (€)]]/2</f>
        <v>0</v>
      </c>
      <c r="H20">
        <f>Tableau13[[#This Row],[Prix de vente TTC (€)]]/1.2</f>
        <v>0</v>
      </c>
      <c r="J20">
        <f>Tableau13[[#This Row],[Prix d''achat (€)]]*1.5</f>
        <v>0</v>
      </c>
      <c r="K20">
        <f>Tableau13[[#This Row],[Prix de vente HT (€)2]]*1.2</f>
        <v>0</v>
      </c>
    </row>
    <row r="21">
      <c r="C21" t="str">
        <v>#000119</v>
      </c>
      <c r="G21">
        <f>Tableau13[[#This Row],[Prix de vente TTC (€)]]/2</f>
        <v>0</v>
      </c>
      <c r="H21">
        <f>Tableau13[[#This Row],[Prix de vente TTC (€)]]/1.2</f>
        <v>0</v>
      </c>
      <c r="J21">
        <f>Tableau13[[#This Row],[Prix d''achat (€)]]*1.5</f>
        <v>0</v>
      </c>
      <c r="K21">
        <f>Tableau13[[#This Row],[Prix de vente HT (€)2]]*1.2</f>
        <v>0</v>
      </c>
    </row>
    <row r="22">
      <c r="C22" t="str">
        <v>#000120</v>
      </c>
      <c r="G22">
        <f>Tableau13[[#This Row],[Prix de vente TTC (€)]]/2</f>
        <v>0</v>
      </c>
      <c r="H22">
        <f>Tableau13[[#This Row],[Prix de vente TTC (€)]]/1.2</f>
        <v>0</v>
      </c>
      <c r="J22">
        <f>Tableau13[[#This Row],[Prix d''achat (€)]]*1.5</f>
        <v>0</v>
      </c>
      <c r="K22">
        <f>Tableau13[[#This Row],[Prix de vente HT (€)2]]*1.2</f>
        <v>0</v>
      </c>
    </row>
    <row r="23">
      <c r="C23" t="str">
        <v>#000121</v>
      </c>
      <c r="G23">
        <f>Tableau13[[#This Row],[Prix de vente TTC (€)]]/2</f>
        <v>0</v>
      </c>
      <c r="H23">
        <f>Tableau13[[#This Row],[Prix de vente TTC (€)]]/1.2</f>
        <v>0</v>
      </c>
      <c r="J23">
        <f>Tableau13[[#This Row],[Prix d''achat (€)]]*1.5</f>
        <v>0</v>
      </c>
      <c r="K23">
        <f>Tableau13[[#This Row],[Prix de vente HT (€)2]]*1.2</f>
        <v>0</v>
      </c>
    </row>
    <row r="24">
      <c r="C24" t="str">
        <v>#000122</v>
      </c>
      <c r="G24">
        <f>Tableau13[[#This Row],[Prix de vente TTC (€)]]/2</f>
        <v>0</v>
      </c>
      <c r="H24">
        <f>Tableau13[[#This Row],[Prix de vente TTC (€)]]/1.2</f>
        <v>0</v>
      </c>
      <c r="J24">
        <f>Tableau13[[#This Row],[Prix d''achat (€)]]*1.5</f>
        <v>0</v>
      </c>
      <c r="K24">
        <f>Tableau13[[#This Row],[Prix de vente HT (€)2]]*1.2</f>
        <v>0</v>
      </c>
    </row>
    <row r="25">
      <c r="C25" t="str">
        <v>#000123</v>
      </c>
      <c r="G25">
        <f>Tableau13[[#This Row],[Prix de vente TTC (€)]]/2</f>
        <v>0</v>
      </c>
      <c r="H25">
        <f>Tableau13[[#This Row],[Prix de vente TTC (€)]]/1.2</f>
        <v>0</v>
      </c>
      <c r="J25">
        <f>Tableau13[[#This Row],[Prix d''achat (€)]]*1.5</f>
        <v>0</v>
      </c>
      <c r="K25">
        <f>Tableau13[[#This Row],[Prix de vente HT (€)2]]*1.2</f>
        <v>0</v>
      </c>
    </row>
    <row r="26">
      <c r="C26" t="str">
        <v>#000124</v>
      </c>
      <c r="G26">
        <f>Tableau13[[#This Row],[Prix de vente TTC (€)]]/2</f>
        <v>0</v>
      </c>
      <c r="H26">
        <f>Tableau13[[#This Row],[Prix de vente TTC (€)]]/1.2</f>
        <v>0</v>
      </c>
      <c r="J26">
        <f>Tableau13[[#This Row],[Prix d''achat (€)]]*1.5</f>
        <v>0</v>
      </c>
      <c r="K26">
        <f>Tableau13[[#This Row],[Prix de vente HT (€)2]]*1.2</f>
        <v>0</v>
      </c>
    </row>
    <row r="27">
      <c r="C27" t="str">
        <v>#000125</v>
      </c>
      <c r="G27">
        <f>Tableau13[[#This Row],[Prix de vente TTC (€)]]/2</f>
        <v>0</v>
      </c>
      <c r="H27">
        <f>Tableau13[[#This Row],[Prix de vente TTC (€)]]/1.2</f>
        <v>0</v>
      </c>
      <c r="J27">
        <f>Tableau13[[#This Row],[Prix d''achat (€)]]*1.5</f>
        <v>0</v>
      </c>
      <c r="K27">
        <f>Tableau13[[#This Row],[Prix de vente HT (€)2]]*1.2</f>
        <v>0</v>
      </c>
    </row>
    <row r="28">
      <c r="C28" t="str">
        <v>#000126</v>
      </c>
      <c r="G28">
        <f>Tableau13[[#This Row],[Prix de vente TTC (€)]]/2</f>
        <v>0</v>
      </c>
      <c r="H28">
        <f>Tableau13[[#This Row],[Prix de vente TTC (€)]]/1.2</f>
        <v>0</v>
      </c>
      <c r="J28">
        <f>Tableau13[[#This Row],[Prix d''achat (€)]]*1.5</f>
        <v>0</v>
      </c>
      <c r="K28">
        <f>Tableau13[[#This Row],[Prix de vente HT (€)2]]*1.2</f>
        <v>0</v>
      </c>
    </row>
    <row r="29">
      <c r="C29" t="str">
        <v>#000127</v>
      </c>
      <c r="G29">
        <f>Tableau13[[#This Row],[Prix de vente TTC (€)]]/2</f>
        <v>0</v>
      </c>
      <c r="H29">
        <f>Tableau13[[#This Row],[Prix de vente TTC (€)]]/1.2</f>
        <v>0</v>
      </c>
      <c r="J29">
        <f>Tableau13[[#This Row],[Prix d''achat (€)]]*1.5</f>
        <v>0</v>
      </c>
      <c r="K29">
        <f>Tableau13[[#This Row],[Prix de vente HT (€)2]]*1.2</f>
        <v>0</v>
      </c>
    </row>
    <row r="30">
      <c r="C30" t="str">
        <v>#000128</v>
      </c>
      <c r="G30">
        <f>Tableau13[[#This Row],[Prix de vente TTC (€)]]/2</f>
        <v>0</v>
      </c>
      <c r="H30">
        <f>Tableau13[[#This Row],[Prix de vente TTC (€)]]/1.2</f>
        <v>0</v>
      </c>
      <c r="J30">
        <f>Tableau13[[#This Row],[Prix d''achat (€)]]*1.5</f>
        <v>0</v>
      </c>
      <c r="K30">
        <f>Tableau13[[#This Row],[Prix de vente HT (€)2]]*1.2</f>
        <v>0</v>
      </c>
    </row>
    <row r="31">
      <c r="C31" t="str">
        <v>#000129</v>
      </c>
      <c r="G31">
        <f>Tableau13[[#This Row],[Prix de vente TTC (€)]]/2</f>
        <v>0</v>
      </c>
      <c r="H31">
        <f>Tableau13[[#This Row],[Prix de vente TTC (€)]]/1.2</f>
        <v>0</v>
      </c>
      <c r="J31">
        <f>Tableau13[[#This Row],[Prix d''achat (€)]]*1.5</f>
        <v>0</v>
      </c>
      <c r="K31">
        <f>Tableau13[[#This Row],[Prix de vente HT (€)2]]*1.2</f>
        <v>0</v>
      </c>
    </row>
    <row r="32">
      <c r="C32" t="str">
        <v>#000130</v>
      </c>
      <c r="G32">
        <f>Tableau13[[#This Row],[Prix de vente TTC (€)]]/2</f>
        <v>0</v>
      </c>
      <c r="H32">
        <f>Tableau13[[#This Row],[Prix de vente TTC (€)]]/1.2</f>
        <v>0</v>
      </c>
      <c r="J32">
        <f>Tableau13[[#This Row],[Prix d''achat (€)]]*1.5</f>
        <v>0</v>
      </c>
      <c r="K32">
        <f>Tableau13[[#This Row],[Prix de vente HT (€)2]]*1.2</f>
        <v>0</v>
      </c>
    </row>
    <row r="33">
      <c r="C33" t="str">
        <v>#000131</v>
      </c>
      <c r="G33">
        <f>Tableau13[[#This Row],[Prix de vente TTC (€)]]/2</f>
        <v>0</v>
      </c>
      <c r="H33">
        <f>Tableau13[[#This Row],[Prix de vente TTC (€)]]/1.2</f>
        <v>0</v>
      </c>
      <c r="J33">
        <f>Tableau13[[#This Row],[Prix d''achat (€)]]*1.5</f>
        <v>0</v>
      </c>
      <c r="K33">
        <f>Tableau13[[#This Row],[Prix de vente HT (€)2]]*1.2</f>
        <v>0</v>
      </c>
    </row>
    <row r="34">
      <c r="C34" t="str">
        <v>#000132</v>
      </c>
      <c r="G34">
        <f>Tableau13[[#This Row],[Prix de vente TTC (€)]]/2</f>
        <v>0</v>
      </c>
      <c r="H34">
        <f>Tableau13[[#This Row],[Prix de vente TTC (€)]]/1.2</f>
        <v>0</v>
      </c>
      <c r="J34">
        <f>Tableau13[[#This Row],[Prix d''achat (€)]]*1.5</f>
        <v>0</v>
      </c>
      <c r="K34">
        <f>Tableau13[[#This Row],[Prix de vente HT (€)2]]*1.2</f>
        <v>0</v>
      </c>
    </row>
    <row r="35">
      <c r="C35" t="str">
        <v>#000133</v>
      </c>
      <c r="G35">
        <f>Tableau13[[#This Row],[Prix de vente TTC (€)]]/2</f>
        <v>0</v>
      </c>
      <c r="H35">
        <f>Tableau13[[#This Row],[Prix de vente TTC (€)]]/1.2</f>
        <v>0</v>
      </c>
      <c r="J35">
        <f>Tableau13[[#This Row],[Prix d''achat (€)]]*1.5</f>
        <v>0</v>
      </c>
      <c r="K35">
        <f>Tableau13[[#This Row],[Prix de vente HT (€)2]]*1.2</f>
        <v>0</v>
      </c>
    </row>
    <row r="36">
      <c r="C36" t="str">
        <v>#000134</v>
      </c>
      <c r="G36">
        <f>Tableau13[[#This Row],[Prix de vente TTC (€)]]/2</f>
        <v>0</v>
      </c>
      <c r="H36">
        <f>Tableau13[[#This Row],[Prix de vente TTC (€)]]/1.2</f>
        <v>0</v>
      </c>
      <c r="J36">
        <f>Tableau13[[#This Row],[Prix d''achat (€)]]*1.5</f>
        <v>0</v>
      </c>
      <c r="K36">
        <f>Tableau13[[#This Row],[Prix de vente HT (€)2]]*1.2</f>
        <v>0</v>
      </c>
    </row>
    <row r="37">
      <c r="C37" t="str">
        <v>#000135</v>
      </c>
      <c r="G37">
        <f>Tableau13[[#This Row],[Prix de vente TTC (€)]]/2</f>
        <v>0</v>
      </c>
      <c r="H37">
        <f>Tableau13[[#This Row],[Prix de vente TTC (€)]]/1.2</f>
        <v>0</v>
      </c>
      <c r="J37">
        <f>Tableau13[[#This Row],[Prix d''achat (€)]]*1.5</f>
        <v>0</v>
      </c>
      <c r="K37">
        <f>Tableau13[[#This Row],[Prix de vente HT (€)2]]*1.2</f>
        <v>0</v>
      </c>
    </row>
    <row r="38">
      <c r="C38" t="str">
        <v>#000136</v>
      </c>
      <c r="G38">
        <f>Tableau13[[#This Row],[Prix de vente TTC (€)]]/2</f>
        <v>0</v>
      </c>
      <c r="H38">
        <f>Tableau13[[#This Row],[Prix de vente TTC (€)]]/1.2</f>
        <v>0</v>
      </c>
      <c r="J38">
        <f>Tableau13[[#This Row],[Prix d''achat (€)]]*1.5</f>
        <v>0</v>
      </c>
      <c r="K38">
        <f>Tableau13[[#This Row],[Prix de vente HT (€)2]]*1.2</f>
        <v>0</v>
      </c>
    </row>
    <row r="39">
      <c r="C39" t="str">
        <v>#000137</v>
      </c>
      <c r="G39">
        <f>Tableau13[[#This Row],[Prix de vente TTC (€)]]/2</f>
        <v>0</v>
      </c>
      <c r="H39">
        <f>Tableau13[[#This Row],[Prix de vente TTC (€)]]/1.2</f>
        <v>0</v>
      </c>
      <c r="J39">
        <f>Tableau13[[#This Row],[Prix d''achat (€)]]*1.5</f>
        <v>0</v>
      </c>
      <c r="K39">
        <f>Tableau13[[#This Row],[Prix de vente HT (€)2]]*1.2</f>
        <v>0</v>
      </c>
    </row>
    <row r="40">
      <c r="C40" t="str">
        <v>#000138</v>
      </c>
      <c r="G40">
        <f>Tableau13[[#This Row],[Prix de vente TTC (€)]]/2</f>
        <v>0</v>
      </c>
      <c r="H40">
        <f>Tableau13[[#This Row],[Prix de vente TTC (€)]]/1.2</f>
        <v>0</v>
      </c>
      <c r="J40">
        <f>Tableau13[[#This Row],[Prix d''achat (€)]]*1.5</f>
        <v>0</v>
      </c>
      <c r="K40">
        <f>Tableau13[[#This Row],[Prix de vente HT (€)2]]*1.2</f>
        <v>0</v>
      </c>
    </row>
    <row r="41">
      <c r="C41" t="str">
        <v>#000139</v>
      </c>
      <c r="G41">
        <f>Tableau13[[#This Row],[Prix de vente TTC (€)]]/2</f>
        <v>0</v>
      </c>
      <c r="H41">
        <f>Tableau13[[#This Row],[Prix de vente TTC (€)]]/1.2</f>
        <v>0</v>
      </c>
      <c r="J41">
        <f>Tableau13[[#This Row],[Prix d''achat (€)]]*1.5</f>
        <v>0</v>
      </c>
      <c r="K41">
        <f>Tableau13[[#This Row],[Prix de vente HT (€)2]]*1.2</f>
        <v>0</v>
      </c>
    </row>
    <row r="42">
      <c r="C42" t="str">
        <v>#000140</v>
      </c>
      <c r="G42">
        <f>Tableau13[[#This Row],[Prix de vente TTC (€)]]/2</f>
        <v>0</v>
      </c>
      <c r="H42">
        <f>Tableau13[[#This Row],[Prix de vente TTC (€)]]/1.2</f>
        <v>0</v>
      </c>
      <c r="J42">
        <f>Tableau13[[#This Row],[Prix d''achat (€)]]*1.5</f>
        <v>0</v>
      </c>
      <c r="K42">
        <f>Tableau13[[#This Row],[Prix de vente HT (€)2]]*1.2</f>
        <v>0</v>
      </c>
    </row>
    <row r="43">
      <c r="C43" t="str">
        <v>#000141</v>
      </c>
      <c r="G43">
        <f>Tableau13[[#This Row],[Prix de vente TTC (€)]]/2</f>
        <v>0</v>
      </c>
      <c r="H43">
        <f>Tableau13[[#This Row],[Prix de vente TTC (€)]]/1.2</f>
        <v>0</v>
      </c>
      <c r="J43">
        <f>Tableau13[[#This Row],[Prix d''achat (€)]]*1.5</f>
        <v>0</v>
      </c>
      <c r="K43">
        <f>Tableau13[[#This Row],[Prix de vente HT (€)2]]*1.2</f>
        <v>0</v>
      </c>
    </row>
    <row r="44">
      <c r="C44" t="str">
        <v>#000142</v>
      </c>
      <c r="G44">
        <f>Tableau13[[#This Row],[Prix de vente TTC (€)]]/2</f>
        <v>0</v>
      </c>
      <c r="H44">
        <f>Tableau13[[#This Row],[Prix de vente TTC (€)]]/1.2</f>
        <v>0</v>
      </c>
      <c r="J44">
        <f>Tableau13[[#This Row],[Prix d''achat (€)]]*1.5</f>
        <v>0</v>
      </c>
      <c r="K44">
        <f>Tableau13[[#This Row],[Prix de vente HT (€)2]]*1.2</f>
        <v>0</v>
      </c>
    </row>
    <row r="45">
      <c r="C45" t="str">
        <v>#000143</v>
      </c>
      <c r="G45">
        <f>Tableau13[[#This Row],[Prix de vente TTC (€)]]/2</f>
        <v>0</v>
      </c>
      <c r="H45">
        <f>Tableau13[[#This Row],[Prix de vente TTC (€)]]/1.2</f>
        <v>0</v>
      </c>
      <c r="J45">
        <f>Tableau13[[#This Row],[Prix d''achat (€)]]*1.5</f>
        <v>0</v>
      </c>
      <c r="K45">
        <f>Tableau13[[#This Row],[Prix de vente HT (€)2]]*1.2</f>
        <v>0</v>
      </c>
    </row>
    <row r="46">
      <c r="C46" t="str">
        <v>#000144</v>
      </c>
      <c r="G46">
        <f>Tableau13[[#This Row],[Prix de vente TTC (€)]]/2</f>
        <v>0</v>
      </c>
      <c r="H46">
        <f>Tableau13[[#This Row],[Prix de vente TTC (€)]]/1.2</f>
        <v>0</v>
      </c>
      <c r="J46">
        <f>Tableau13[[#This Row],[Prix d''achat (€)]]*1.5</f>
        <v>0</v>
      </c>
      <c r="K46">
        <f>Tableau13[[#This Row],[Prix de vente HT (€)2]]*1.2</f>
        <v>0</v>
      </c>
    </row>
    <row r="47">
      <c r="C47" t="str">
        <v>#000145</v>
      </c>
      <c r="G47">
        <f>Tableau13[[#This Row],[Prix de vente TTC (€)]]/2</f>
        <v>0</v>
      </c>
      <c r="H47">
        <f>Tableau13[[#This Row],[Prix de vente TTC (€)]]/1.2</f>
        <v>0</v>
      </c>
      <c r="J47">
        <f>Tableau13[[#This Row],[Prix d''achat (€)]]*1.5</f>
        <v>0</v>
      </c>
      <c r="K47">
        <f>Tableau13[[#This Row],[Prix de vente HT (€)2]]*1.2</f>
        <v>0</v>
      </c>
    </row>
    <row r="48">
      <c r="C48" t="str">
        <v>#000146</v>
      </c>
      <c r="G48">
        <f>Tableau13[[#This Row],[Prix de vente TTC (€)]]/2</f>
        <v>0</v>
      </c>
      <c r="H48">
        <f>Tableau13[[#This Row],[Prix de vente TTC (€)]]/1.2</f>
        <v>0</v>
      </c>
      <c r="J48">
        <f>Tableau13[[#This Row],[Prix d''achat (€)]]*1.5</f>
        <v>0</v>
      </c>
      <c r="K48">
        <f>Tableau13[[#This Row],[Prix de vente HT (€)2]]*1.2</f>
        <v>0</v>
      </c>
    </row>
    <row r="49">
      <c r="C49" t="str">
        <v>#000147</v>
      </c>
      <c r="G49">
        <f>Tableau13[[#This Row],[Prix de vente TTC (€)]]/2</f>
        <v>0</v>
      </c>
      <c r="H49">
        <f>Tableau13[[#This Row],[Prix de vente TTC (€)]]/1.2</f>
        <v>0</v>
      </c>
      <c r="J49">
        <f>Tableau13[[#This Row],[Prix d''achat (€)]]*1.5</f>
        <v>0</v>
      </c>
      <c r="K49">
        <f>Tableau13[[#This Row],[Prix de vente HT (€)2]]*1.2</f>
        <v>0</v>
      </c>
    </row>
    <row r="50">
      <c r="C50" t="str">
        <v>#000148</v>
      </c>
      <c r="G50">
        <f>Tableau13[[#This Row],[Prix de vente TTC (€)]]/2</f>
        <v>0</v>
      </c>
      <c r="H50">
        <f>Tableau13[[#This Row],[Prix de vente TTC (€)]]/1.2</f>
        <v>0</v>
      </c>
      <c r="J50">
        <f>Tableau13[[#This Row],[Prix d''achat (€)]]*1.5</f>
        <v>0</v>
      </c>
      <c r="K50">
        <f>Tableau13[[#This Row],[Prix de vente HT (€)2]]*1.2</f>
        <v>0</v>
      </c>
    </row>
    <row r="51">
      <c r="C51" t="str">
        <v>#000149</v>
      </c>
      <c r="G51">
        <f>Tableau13[[#This Row],[Prix de vente TTC (€)]]/2</f>
        <v>0</v>
      </c>
      <c r="H51">
        <f>Tableau13[[#This Row],[Prix de vente TTC (€)]]/1.2</f>
        <v>0</v>
      </c>
      <c r="J51">
        <f>Tableau13[[#This Row],[Prix d''achat (€)]]*1.5</f>
        <v>0</v>
      </c>
      <c r="K51">
        <f>Tableau13[[#This Row],[Prix de vente HT (€)2]]*1.2</f>
        <v>0</v>
      </c>
    </row>
    <row r="52">
      <c r="C52" t="str">
        <v>#000150</v>
      </c>
      <c r="G52">
        <f>Tableau13[[#This Row],[Prix de vente TTC (€)]]/2</f>
        <v>0</v>
      </c>
      <c r="H52">
        <f>Tableau13[[#This Row],[Prix de vente TTC (€)]]/1.2</f>
        <v>0</v>
      </c>
      <c r="J52">
        <f>Tableau13[[#This Row],[Prix d''achat (€)]]*1.5</f>
        <v>0</v>
      </c>
      <c r="K52">
        <f>Tableau13[[#This Row],[Prix de vente HT (€)2]]*1.2</f>
        <v>0</v>
      </c>
    </row>
    <row r="53">
      <c r="C53" t="str">
        <v>#000151</v>
      </c>
      <c r="G53">
        <f>Tableau13[[#This Row],[Prix de vente TTC (€)]]/2</f>
        <v>0</v>
      </c>
      <c r="H53">
        <f>Tableau13[[#This Row],[Prix de vente TTC (€)]]/1.2</f>
        <v>0</v>
      </c>
      <c r="J53">
        <f>Tableau13[[#This Row],[Prix d''achat (€)]]*1.5</f>
        <v>0</v>
      </c>
      <c r="K53">
        <f>Tableau13[[#This Row],[Prix de vente HT (€)2]]*1.2</f>
        <v>0</v>
      </c>
    </row>
    <row r="54">
      <c r="C54" t="str">
        <v>#000152</v>
      </c>
      <c r="G54">
        <f>Tableau13[[#This Row],[Prix de vente TTC (€)]]/2</f>
        <v>0</v>
      </c>
      <c r="H54">
        <f>Tableau13[[#This Row],[Prix de vente TTC (€)]]/1.2</f>
        <v>0</v>
      </c>
      <c r="J54">
        <f>Tableau13[[#This Row],[Prix d''achat (€)]]*1.5</f>
        <v>0</v>
      </c>
      <c r="K54">
        <f>Tableau13[[#This Row],[Prix de vente HT (€)2]]*1.2</f>
        <v>0</v>
      </c>
    </row>
    <row r="55">
      <c r="C55" t="str">
        <v>#000153</v>
      </c>
      <c r="G55">
        <f>Tableau13[[#This Row],[Prix de vente TTC (€)]]/2</f>
        <v>0</v>
      </c>
      <c r="H55">
        <f>Tableau13[[#This Row],[Prix de vente TTC (€)]]/1.2</f>
        <v>0</v>
      </c>
      <c r="J55">
        <f>Tableau13[[#This Row],[Prix d''achat (€)]]*1.5</f>
        <v>0</v>
      </c>
      <c r="K55">
        <f>Tableau13[[#This Row],[Prix de vente HT (€)2]]*1.2</f>
        <v>0</v>
      </c>
    </row>
    <row r="56">
      <c r="C56" t="str">
        <v>#000154</v>
      </c>
      <c r="G56">
        <f>Tableau13[[#This Row],[Prix de vente TTC (€)]]/2</f>
        <v>0</v>
      </c>
      <c r="H56">
        <f>Tableau13[[#This Row],[Prix de vente TTC (€)]]/1.2</f>
        <v>0</v>
      </c>
      <c r="J56">
        <f>Tableau13[[#This Row],[Prix d''achat (€)]]*1.5</f>
        <v>0</v>
      </c>
      <c r="K56">
        <f>Tableau13[[#This Row],[Prix de vente HT (€)2]]*1.2</f>
        <v>0</v>
      </c>
    </row>
    <row r="57">
      <c r="C57" t="str">
        <v>#000155</v>
      </c>
      <c r="G57">
        <f>Tableau13[[#This Row],[Prix de vente TTC (€)]]/2</f>
        <v>0</v>
      </c>
      <c r="H57">
        <f>Tableau13[[#This Row],[Prix de vente TTC (€)]]/1.2</f>
        <v>0</v>
      </c>
      <c r="J57">
        <f>Tableau13[[#This Row],[Prix d''achat (€)]]*1.5</f>
        <v>0</v>
      </c>
      <c r="K57">
        <f>Tableau13[[#This Row],[Prix de vente HT (€)2]]*1.2</f>
        <v>0</v>
      </c>
    </row>
    <row r="58">
      <c r="C58" t="str">
        <v>#000156</v>
      </c>
      <c r="G58">
        <f>Tableau13[[#This Row],[Prix de vente TTC (€)]]/2</f>
        <v>0</v>
      </c>
      <c r="H58">
        <f>Tableau13[[#This Row],[Prix de vente TTC (€)]]/1.2</f>
        <v>0</v>
      </c>
      <c r="J58">
        <f>Tableau13[[#This Row],[Prix d''achat (€)]]*1.5</f>
        <v>0</v>
      </c>
      <c r="K58">
        <f>Tableau13[[#This Row],[Prix de vente HT (€)2]]*1.2</f>
        <v>0</v>
      </c>
    </row>
    <row r="59">
      <c r="C59" t="str">
        <v>#000157</v>
      </c>
      <c r="G59">
        <f>Tableau13[[#This Row],[Prix de vente TTC (€)]]/2</f>
        <v>0</v>
      </c>
      <c r="H59">
        <f>Tableau13[[#This Row],[Prix de vente TTC (€)]]/1.2</f>
        <v>0</v>
      </c>
      <c r="J59">
        <f>Tableau13[[#This Row],[Prix d''achat (€)]]*1.5</f>
        <v>0</v>
      </c>
      <c r="K59">
        <f>Tableau13[[#This Row],[Prix de vente HT (€)2]]*1.2</f>
        <v>0</v>
      </c>
    </row>
    <row r="60">
      <c r="C60" t="str">
        <v>#000158</v>
      </c>
      <c r="G60">
        <f>Tableau13[[#This Row],[Prix de vente TTC (€)]]/2</f>
        <v>0</v>
      </c>
      <c r="H60">
        <f>Tableau13[[#This Row],[Prix de vente TTC (€)]]/1.2</f>
        <v>0</v>
      </c>
      <c r="J60">
        <f>Tableau13[[#This Row],[Prix d''achat (€)]]*1.5</f>
        <v>0</v>
      </c>
      <c r="K60">
        <f>Tableau13[[#This Row],[Prix de vente HT (€)2]]*1.2</f>
        <v>0</v>
      </c>
    </row>
    <row r="61">
      <c r="C61" t="str">
        <v>#000159</v>
      </c>
      <c r="G61">
        <f>Tableau13[[#This Row],[Prix de vente TTC (€)]]/2</f>
        <v>0</v>
      </c>
      <c r="H61">
        <f>Tableau13[[#This Row],[Prix de vente TTC (€)]]/1.2</f>
        <v>0</v>
      </c>
      <c r="J61">
        <f>Tableau13[[#This Row],[Prix d''achat (€)]]*1.5</f>
        <v>0</v>
      </c>
      <c r="K61">
        <f>Tableau13[[#This Row],[Prix de vente HT (€)2]]*1.2</f>
        <v>0</v>
      </c>
    </row>
    <row r="62">
      <c r="C62" t="str">
        <v>#000160</v>
      </c>
      <c r="G62">
        <f>Tableau13[[#This Row],[Prix de vente TTC (€)]]/2</f>
        <v>0</v>
      </c>
      <c r="H62">
        <f>Tableau13[[#This Row],[Prix de vente TTC (€)]]/1.2</f>
        <v>0</v>
      </c>
      <c r="J62">
        <f>Tableau13[[#This Row],[Prix d''achat (€)]]*1.5</f>
        <v>0</v>
      </c>
      <c r="K62">
        <f>Tableau13[[#This Row],[Prix de vente HT (€)2]]*1.2</f>
        <v>0</v>
      </c>
    </row>
    <row r="63">
      <c r="C63" t="str">
        <v>#000161</v>
      </c>
      <c r="G63">
        <f>Tableau13[[#This Row],[Prix de vente TTC (€)]]/2</f>
        <v>0</v>
      </c>
      <c r="H63">
        <f>Tableau13[[#This Row],[Prix de vente TTC (€)]]/1.2</f>
        <v>0</v>
      </c>
      <c r="J63">
        <f>Tableau13[[#This Row],[Prix d''achat (€)]]*1.5</f>
        <v>0</v>
      </c>
      <c r="K63">
        <f>Tableau13[[#This Row],[Prix de vente HT (€)2]]*1.2</f>
        <v>0</v>
      </c>
    </row>
    <row r="64">
      <c r="C64" t="str">
        <v>#000162</v>
      </c>
      <c r="G64">
        <f>Tableau13[[#This Row],[Prix de vente TTC (€)]]/2</f>
        <v>0</v>
      </c>
      <c r="H64">
        <f>Tableau13[[#This Row],[Prix de vente TTC (€)]]/1.2</f>
        <v>0</v>
      </c>
      <c r="J64">
        <f>Tableau13[[#This Row],[Prix d''achat (€)]]*1.5</f>
        <v>0</v>
      </c>
      <c r="K64">
        <f>Tableau13[[#This Row],[Prix de vente HT (€)2]]*1.2</f>
        <v>0</v>
      </c>
    </row>
    <row r="65">
      <c r="C65" t="str">
        <v>#000163</v>
      </c>
      <c r="G65">
        <f>Tableau13[[#This Row],[Prix de vente TTC (€)]]/2</f>
        <v>0</v>
      </c>
      <c r="H65">
        <f>Tableau13[[#This Row],[Prix de vente TTC (€)]]/1.2</f>
        <v>0</v>
      </c>
      <c r="J65">
        <f>Tableau13[[#This Row],[Prix d''achat (€)]]*1.5</f>
        <v>0</v>
      </c>
      <c r="K65">
        <f>Tableau13[[#This Row],[Prix de vente HT (€)2]]*1.2</f>
        <v>0</v>
      </c>
    </row>
    <row r="66">
      <c r="C66" t="str">
        <v>#000164</v>
      </c>
      <c r="G66">
        <f>Tableau13[[#This Row],[Prix de vente TTC (€)]]/2</f>
        <v>0</v>
      </c>
      <c r="H66">
        <f>Tableau13[[#This Row],[Prix de vente TTC (€)]]/1.2</f>
        <v>0</v>
      </c>
      <c r="J66">
        <f>Tableau13[[#This Row],[Prix d''achat (€)]]*1.5</f>
        <v>0</v>
      </c>
      <c r="K66">
        <f>Tableau13[[#This Row],[Prix de vente HT (€)2]]*1.2</f>
        <v>0</v>
      </c>
    </row>
    <row r="67">
      <c r="C67" t="str">
        <v>#000165</v>
      </c>
      <c r="G67">
        <f>Tableau13[[#This Row],[Prix de vente TTC (€)]]/2</f>
        <v>0</v>
      </c>
      <c r="H67">
        <f>Tableau13[[#This Row],[Prix de vente TTC (€)]]/1.2</f>
        <v>0</v>
      </c>
      <c r="J67">
        <f>Tableau13[[#This Row],[Prix d''achat (€)]]*1.5</f>
        <v>0</v>
      </c>
      <c r="K67">
        <f>Tableau13[[#This Row],[Prix de vente HT (€)2]]*1.2</f>
        <v>0</v>
      </c>
    </row>
  </sheetData>
  <mergeCells count="2">
    <mergeCell ref="H1:I1"/>
    <mergeCell ref="J1:K1"/>
  </mergeCells>
  <pageMargins left="0.7" right="0.7" top="0.75" bottom="0.75" header="0.3" footer="0.3"/>
  <ignoredErrors>
    <ignoredError numberStoredAsText="1" sqref="A1:K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Grille tarifaire particulier</vt:lpstr>
      <vt:lpstr>Grille tarifaire import chine</vt:lpstr>
      <vt:lpstr>Catalogue import Chine</vt:lpstr>
      <vt:lpstr>Catalogue achat france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2026-04-04T07:31:12Z</dcterms:created>
  <dcterms:modified xsi:type="dcterms:W3CDTF">2026-04-25T13:29:18Z</dcterms:modified>
  <cp:lastModifiedBy>Victor</cp:lastModifiedBy>
  <dc:creator>Victor</dc:creator>
</cp:coreProperties>
</file>